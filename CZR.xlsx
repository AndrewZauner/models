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Models\"/>
    </mc:Choice>
  </mc:AlternateContent>
  <xr:revisionPtr revIDLastSave="0" documentId="13_ncr:1_{9EFCFFD3-AE98-4D02-98E9-D4757A14EBCF}" xr6:coauthVersionLast="47" xr6:coauthVersionMax="47" xr10:uidLastSave="{00000000-0000-0000-0000-000000000000}"/>
  <bookViews>
    <workbookView xWindow="-105" yWindow="0" windowWidth="13170" windowHeight="15585" activeTab="1" xr2:uid="{9627131F-423F-4F60-B94E-6A88522ED2E4}"/>
  </bookViews>
  <sheets>
    <sheet name="Main" sheetId="1" r:id="rId1"/>
    <sheet name="Model" sheetId="2" r:id="rId2"/>
    <sheet name="Proper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2" l="1"/>
  <c r="U28" i="2"/>
  <c r="T28" i="2"/>
  <c r="S28" i="2"/>
  <c r="R28" i="2"/>
  <c r="Q28" i="2"/>
  <c r="P28" i="2"/>
  <c r="O28" i="2"/>
  <c r="N28" i="2"/>
  <c r="M28" i="2"/>
  <c r="L28" i="2"/>
  <c r="K28" i="2"/>
  <c r="V27" i="2"/>
  <c r="U27" i="2"/>
  <c r="T27" i="2"/>
  <c r="S27" i="2"/>
  <c r="R27" i="2"/>
  <c r="Q27" i="2"/>
  <c r="P27" i="2"/>
  <c r="O27" i="2"/>
  <c r="N27" i="2"/>
  <c r="M27" i="2"/>
  <c r="L27" i="2"/>
  <c r="K27" i="2"/>
  <c r="V29" i="2"/>
  <c r="U29" i="2"/>
  <c r="T29" i="2"/>
  <c r="S29" i="2"/>
  <c r="R29" i="2"/>
  <c r="Q29" i="2"/>
  <c r="P29" i="2"/>
  <c r="O29" i="2"/>
  <c r="M29" i="2"/>
  <c r="L29" i="2"/>
  <c r="K29" i="2"/>
  <c r="N29" i="2"/>
  <c r="J15" i="2"/>
  <c r="J16" i="2" s="1"/>
  <c r="J7" i="2"/>
  <c r="J30" i="2" s="1"/>
  <c r="N15" i="2"/>
  <c r="N16" i="2" s="1"/>
  <c r="N7" i="2"/>
  <c r="G16" i="2"/>
  <c r="G7" i="2"/>
  <c r="G30" i="2" s="1"/>
  <c r="K16" i="2"/>
  <c r="K7" i="2"/>
  <c r="H16" i="2"/>
  <c r="H7" i="2"/>
  <c r="H30" i="2" s="1"/>
  <c r="L16" i="2"/>
  <c r="L7" i="2"/>
  <c r="I16" i="2"/>
  <c r="I7" i="2"/>
  <c r="I30" i="2" s="1"/>
  <c r="M16" i="2"/>
  <c r="M7" i="2"/>
  <c r="R11" i="2"/>
  <c r="R16" i="2" s="1"/>
  <c r="V15" i="2"/>
  <c r="V16" i="2" s="1"/>
  <c r="R7" i="2"/>
  <c r="P15" i="2"/>
  <c r="P16" i="2" s="1"/>
  <c r="V7" i="2"/>
  <c r="O16" i="2"/>
  <c r="O7" i="2"/>
  <c r="S16" i="2"/>
  <c r="S7" i="2"/>
  <c r="P7" i="2"/>
  <c r="T16" i="2"/>
  <c r="T7" i="2"/>
  <c r="Q16" i="2"/>
  <c r="Q7" i="2"/>
  <c r="U16" i="2"/>
  <c r="U7" i="2"/>
  <c r="K7" i="1"/>
  <c r="K4" i="1"/>
  <c r="O30" i="2" l="1"/>
  <c r="S30" i="2"/>
  <c r="Q30" i="2"/>
  <c r="K30" i="2"/>
  <c r="L30" i="2"/>
  <c r="R30" i="2"/>
  <c r="P30" i="2"/>
  <c r="G17" i="2"/>
  <c r="M30" i="2"/>
  <c r="N30" i="2"/>
  <c r="U30" i="2"/>
  <c r="J17" i="2"/>
  <c r="J19" i="2" s="1"/>
  <c r="J21" i="2" s="1"/>
  <c r="N17" i="2"/>
  <c r="N19" i="2" s="1"/>
  <c r="N21" i="2" s="1"/>
  <c r="N22" i="2" s="1"/>
  <c r="N38" i="2" s="1"/>
  <c r="G19" i="2"/>
  <c r="G21" i="2" s="1"/>
  <c r="K17" i="2"/>
  <c r="K19" i="2" s="1"/>
  <c r="K21" i="2" s="1"/>
  <c r="H17" i="2"/>
  <c r="H19" i="2" s="1"/>
  <c r="H21" i="2" s="1"/>
  <c r="L17" i="2"/>
  <c r="L19" i="2" s="1"/>
  <c r="L21" i="2" s="1"/>
  <c r="I17" i="2"/>
  <c r="I19" i="2" s="1"/>
  <c r="I21" i="2" s="1"/>
  <c r="T30" i="2"/>
  <c r="V30" i="2"/>
  <c r="M17" i="2"/>
  <c r="M19" i="2" s="1"/>
  <c r="M21" i="2" s="1"/>
  <c r="U17" i="2"/>
  <c r="U19" i="2" s="1"/>
  <c r="U21" i="2" s="1"/>
  <c r="U22" i="2" s="1"/>
  <c r="U24" i="2" s="1"/>
  <c r="R17" i="2"/>
  <c r="R19" i="2" s="1"/>
  <c r="R21" i="2" s="1"/>
  <c r="V17" i="2"/>
  <c r="V19" i="2" s="1"/>
  <c r="V21" i="2" s="1"/>
  <c r="O17" i="2"/>
  <c r="O19" i="2" s="1"/>
  <c r="O21" i="2" s="1"/>
  <c r="S17" i="2"/>
  <c r="S19" i="2" s="1"/>
  <c r="S21" i="2" s="1"/>
  <c r="P17" i="2"/>
  <c r="P19" i="2" s="1"/>
  <c r="P21" i="2" s="1"/>
  <c r="T17" i="2"/>
  <c r="T19" i="2" s="1"/>
  <c r="T21" i="2" s="1"/>
  <c r="T22" i="2" s="1"/>
  <c r="Q17" i="2"/>
  <c r="Q19" i="2" s="1"/>
  <c r="Q21" i="2" s="1"/>
  <c r="Q22" i="2" s="1"/>
  <c r="K22" i="2" l="1"/>
  <c r="K38" i="2" s="1"/>
  <c r="K39" i="2" s="1"/>
  <c r="L22" i="2"/>
  <c r="L38" i="2" s="1"/>
  <c r="L39" i="2" s="1"/>
  <c r="H22" i="2"/>
  <c r="H24" i="2" s="1"/>
  <c r="I22" i="2"/>
  <c r="I24" i="2" s="1"/>
  <c r="G22" i="2"/>
  <c r="G24" i="2" s="1"/>
  <c r="J22" i="2"/>
  <c r="J24" i="2" s="1"/>
  <c r="N24" i="2"/>
  <c r="K24" i="2"/>
  <c r="U38" i="2"/>
  <c r="U39" i="2" s="1"/>
  <c r="M22" i="2"/>
  <c r="M38" i="2" s="1"/>
  <c r="M39" i="2" s="1"/>
  <c r="R22" i="2"/>
  <c r="R24" i="2" s="1"/>
  <c r="S22" i="2"/>
  <c r="S38" i="2" s="1"/>
  <c r="S39" i="2" s="1"/>
  <c r="Q24" i="2"/>
  <c r="Q38" i="2"/>
  <c r="Q39" i="2" s="1"/>
  <c r="T38" i="2"/>
  <c r="T39" i="2" s="1"/>
  <c r="T24" i="2"/>
  <c r="O22" i="2"/>
  <c r="O38" i="2" s="1"/>
  <c r="O39" i="2" s="1"/>
  <c r="V22" i="2"/>
  <c r="V38" i="2" s="1"/>
  <c r="V39" i="2" s="1"/>
  <c r="P22" i="2"/>
  <c r="G38" i="2" l="1"/>
  <c r="J38" i="2"/>
  <c r="R38" i="2"/>
  <c r="R39" i="2" s="1"/>
  <c r="M24" i="2"/>
  <c r="L24" i="2"/>
  <c r="I38" i="2"/>
  <c r="I39" i="2" s="1"/>
  <c r="H38" i="2"/>
  <c r="P24" i="2"/>
  <c r="P38" i="2"/>
  <c r="P39" i="2" s="1"/>
  <c r="O24" i="2"/>
  <c r="S24" i="2"/>
  <c r="V24" i="2"/>
</calcChain>
</file>

<file path=xl/sharedStrings.xml><?xml version="1.0" encoding="utf-8"?>
<sst xmlns="http://schemas.openxmlformats.org/spreadsheetml/2006/main" count="421" uniqueCount="296">
  <si>
    <t>Price</t>
  </si>
  <si>
    <t>Shares</t>
  </si>
  <si>
    <t>MC</t>
  </si>
  <si>
    <t>Cash</t>
  </si>
  <si>
    <t>Debt</t>
  </si>
  <si>
    <t>EV</t>
  </si>
  <si>
    <t>Q325</t>
  </si>
  <si>
    <t>Casino</t>
  </si>
  <si>
    <t>Food and Bev</t>
  </si>
  <si>
    <t>Hotel</t>
  </si>
  <si>
    <t>Other</t>
  </si>
  <si>
    <t>Revenue</t>
  </si>
  <si>
    <t>G&amp;A</t>
  </si>
  <si>
    <t>Corporate</t>
  </si>
  <si>
    <t>Dep &amp; Amort</t>
  </si>
  <si>
    <t>Total Operating Expenses</t>
  </si>
  <si>
    <t>Operating Income</t>
  </si>
  <si>
    <t>Other Expense</t>
  </si>
  <si>
    <t>Pretax Income</t>
  </si>
  <si>
    <t>Taxes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</si>
  <si>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</si>
  <si>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</si>
  <si>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</si>
  <si>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</si>
  <si>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</si>
  <si>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</si>
  <si>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</si>
  <si>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</si>
  <si>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</si>
  <si>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</si>
  <si>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Q425</t>
  </si>
  <si>
    <t>Q126</t>
  </si>
  <si>
    <t>EPS</t>
  </si>
  <si>
    <t>Net Income</t>
  </si>
  <si>
    <t>Net Attributable</t>
  </si>
  <si>
    <t>Reported NI</t>
  </si>
  <si>
    <t>Model NI</t>
  </si>
  <si>
    <t>Revenue YoY</t>
  </si>
  <si>
    <t>Other Operating Expenses</t>
  </si>
  <si>
    <t>Q122</t>
  </si>
  <si>
    <t>Q222</t>
  </si>
  <si>
    <t>Q322</t>
  </si>
  <si>
    <t>Q422</t>
  </si>
  <si>
    <t>Q121</t>
  </si>
  <si>
    <t>Q221</t>
  </si>
  <si>
    <t>Q321</t>
  </si>
  <si>
    <t>Q421</t>
  </si>
  <si>
    <t>Property</t>
  </si>
  <si>
    <t>Location</t>
  </si>
  <si>
    <t>Sq. Ft.</t>
  </si>
  <si>
    <t>The Cromwell</t>
  </si>
  <si>
    <t>Las Vegas, NV</t>
  </si>
  <si>
    <t>40,600 </t>
  </si>
  <si>
    <t>350 </t>
  </si>
  <si>
    <t>30 </t>
  </si>
  <si>
    <t>190 </t>
  </si>
  <si>
    <t>Flamingo Las Vegas</t>
  </si>
  <si>
    <t>60,100 </t>
  </si>
  <si>
    <t>760 </t>
  </si>
  <si>
    <t>50 </t>
  </si>
  <si>
    <t>3,450 </t>
  </si>
  <si>
    <t>Horseshoe Las Vegas</t>
  </si>
  <si>
    <t>61,100 </t>
  </si>
  <si>
    <t>60 </t>
  </si>
  <si>
    <t>2,060 </t>
  </si>
  <si>
    <t>The LINQ Hotel &amp; Casino</t>
  </si>
  <si>
    <t>39,100 </t>
  </si>
  <si>
    <t>630 </t>
  </si>
  <si>
    <t>40 </t>
  </si>
  <si>
    <t>2,240 </t>
  </si>
  <si>
    <t>Paris Las Vegas</t>
  </si>
  <si>
    <t>96,700 </t>
  </si>
  <si>
    <t>850 </t>
  </si>
  <si>
    <t>3,670 </t>
  </si>
  <si>
    <t>Planet Hollywood Resort &amp; Casino</t>
  </si>
  <si>
    <t>63,800 </t>
  </si>
  <si>
    <t>870 </t>
  </si>
  <si>
    <t>70 </t>
  </si>
  <si>
    <t>2,500 </t>
  </si>
  <si>
    <t>Leased</t>
  </si>
  <si>
    <t>Caesars Palace Las Vegas</t>
  </si>
  <si>
    <t>124,500 </t>
  </si>
  <si>
    <t>1,380 </t>
  </si>
  <si>
    <t>160 </t>
  </si>
  <si>
    <t>3,980 </t>
  </si>
  <si>
    <t>Harrah’s Las Vegas</t>
  </si>
  <si>
    <t>88,800 </t>
  </si>
  <si>
    <t>1,040 </t>
  </si>
  <si>
    <t>2,540 </t>
  </si>
  <si>
    <t>Regional Segment</t>
  </si>
  <si>
    <t>Danville, VA</t>
  </si>
  <si>
    <t>107,000 </t>
  </si>
  <si>
    <t>1,480 </t>
  </si>
  <si>
    <t>100 </t>
  </si>
  <si>
    <t>320 </t>
  </si>
  <si>
    <t>Circus Circus Reno</t>
  </si>
  <si>
    <t>Reno, NV</t>
  </si>
  <si>
    <t>59,900 </t>
  </si>
  <si>
    <t>450 </t>
  </si>
  <si>
    <t>1,570 </t>
  </si>
  <si>
    <t>Eldorado Gaming Scioto Downs</t>
  </si>
  <si>
    <t>Columbus, OH</t>
  </si>
  <si>
    <t>108,400 </t>
  </si>
  <si>
    <t>1,760 </t>
  </si>
  <si>
    <t>Eldorado Resort Casino Reno</t>
  </si>
  <si>
    <t>70,000 </t>
  </si>
  <si>
    <t>750 </t>
  </si>
  <si>
    <t>810 </t>
  </si>
  <si>
    <t>Grand Victoria Casino</t>
  </si>
  <si>
    <t>Elgin, IL</t>
  </si>
  <si>
    <t>48,200 </t>
  </si>
  <si>
    <t>Columbus, NE</t>
  </si>
  <si>
    <t>17,800 </t>
  </si>
  <si>
    <t>400 </t>
  </si>
  <si>
    <t>10 </t>
  </si>
  <si>
    <t>Harrah’s Hoosier Park Racing &amp; Casino</t>
  </si>
  <si>
    <t>Anderson, IN</t>
  </si>
  <si>
    <t>86,100 </t>
  </si>
  <si>
    <t>1,190 </t>
  </si>
  <si>
    <t>Horseshoe Baltimore</t>
  </si>
  <si>
    <t>Baltimore, MD</t>
  </si>
  <si>
    <t>133,300 </t>
  </si>
  <si>
    <t>1,400 </t>
  </si>
  <si>
    <t>150 </t>
  </si>
  <si>
    <t>Horseshoe Black Hawk</t>
  </si>
  <si>
    <t>Black Hawk, CO</t>
  </si>
  <si>
    <t>26,900 </t>
  </si>
  <si>
    <t>690 </t>
  </si>
  <si>
    <t>Horseshoe Indianapolis</t>
  </si>
  <si>
    <t>Shelbyville, IN</t>
  </si>
  <si>
    <t>99,300 </t>
  </si>
  <si>
    <t>1,490 </t>
  </si>
  <si>
    <t>90 </t>
  </si>
  <si>
    <t>Horseshoe Lake Charles</t>
  </si>
  <si>
    <t>Westlake, LA</t>
  </si>
  <si>
    <t>62,000 </t>
  </si>
  <si>
    <t>780 </t>
  </si>
  <si>
    <t>250 </t>
  </si>
  <si>
    <t>Isle of Capri Casino Boonville</t>
  </si>
  <si>
    <t>Boonville, MO</t>
  </si>
  <si>
    <t>28,000 </t>
  </si>
  <si>
    <t>650 </t>
  </si>
  <si>
    <t>20 </t>
  </si>
  <si>
    <t>140 </t>
  </si>
  <si>
    <t>Isle of Capri Casino Lula</t>
  </si>
  <si>
    <t>Lula, MS</t>
  </si>
  <si>
    <t>59,300 </t>
  </si>
  <si>
    <t>Harrah’s Pompano Beach</t>
  </si>
  <si>
    <t>Pompano Beach, FL</t>
  </si>
  <si>
    <t>71,700 </t>
  </si>
  <si>
    <t>1,180 </t>
  </si>
  <si>
    <t>Lady Luck Casino - Black Hawk</t>
  </si>
  <si>
    <t>11,200 </t>
  </si>
  <si>
    <t>300 </t>
  </si>
  <si>
    <t>Silver Legacy Resort Casino</t>
  </si>
  <si>
    <t>90,100 </t>
  </si>
  <si>
    <t>830 </t>
  </si>
  <si>
    <t>1,680 </t>
  </si>
  <si>
    <t>Caesars Atlantic City</t>
  </si>
  <si>
    <t>Atlantic City, NJ</t>
  </si>
  <si>
    <t>114,800 </t>
  </si>
  <si>
    <t>1,730 </t>
  </si>
  <si>
    <t>110 </t>
  </si>
  <si>
    <t>1,140 </t>
  </si>
  <si>
    <t>New Orleans, LA</t>
  </si>
  <si>
    <t>111,300 </t>
  </si>
  <si>
    <t>790 </t>
  </si>
  <si>
    <t>Harrah’s Atlantic City</t>
  </si>
  <si>
    <t>150,400 </t>
  </si>
  <si>
    <t>1,850 </t>
  </si>
  <si>
    <t>130 </t>
  </si>
  <si>
    <t>2,580 </t>
  </si>
  <si>
    <t>Harrah’s Council Bluffs</t>
  </si>
  <si>
    <t>Council Bluffs, IA</t>
  </si>
  <si>
    <t>27,600 </t>
  </si>
  <si>
    <t>Harrah’s Gulf Coast</t>
  </si>
  <si>
    <t>Biloxi, MS</t>
  </si>
  <si>
    <t>37,200 </t>
  </si>
  <si>
    <t>590 </t>
  </si>
  <si>
    <t>540 </t>
  </si>
  <si>
    <t>Harrah’s Joliet</t>
  </si>
  <si>
    <t>Joliet, IL</t>
  </si>
  <si>
    <t>39,000 </t>
  </si>
  <si>
    <t>740 </t>
  </si>
  <si>
    <t>200 </t>
  </si>
  <si>
    <t>Harrah’s Lake Tahoe</t>
  </si>
  <si>
    <t>Lake Tahoe, NV</t>
  </si>
  <si>
    <t>49,800 </t>
  </si>
  <si>
    <t>510 </t>
  </si>
  <si>
    <t>Harrah’s Laughlin</t>
  </si>
  <si>
    <t>Laughlin, NV</t>
  </si>
  <si>
    <t>58,200 </t>
  </si>
  <si>
    <t>720 </t>
  </si>
  <si>
    <t>1,510 </t>
  </si>
  <si>
    <t>Harrah’s Metropolis</t>
  </si>
  <si>
    <t>Metropolis, IL</t>
  </si>
  <si>
    <t>17,700 </t>
  </si>
  <si>
    <t>210 </t>
  </si>
  <si>
    <t>Harrah’s North Kansas City</t>
  </si>
  <si>
    <t>N. Kansas City, MO</t>
  </si>
  <si>
    <t>57,500 </t>
  </si>
  <si>
    <t>910 </t>
  </si>
  <si>
    <t>390 </t>
  </si>
  <si>
    <t>Harrah’s Philadelphia</t>
  </si>
  <si>
    <t>Chester, PA</t>
  </si>
  <si>
    <t>88,700 </t>
  </si>
  <si>
    <t>1,580 </t>
  </si>
  <si>
    <t>Harveys Lake Tahoe</t>
  </si>
  <si>
    <t>48,900 </t>
  </si>
  <si>
    <t>Horseshoe Bossier City</t>
  </si>
  <si>
    <t>Bossier City, LA</t>
  </si>
  <si>
    <t>34,000 </t>
  </si>
  <si>
    <t>950 </t>
  </si>
  <si>
    <t>600 </t>
  </si>
  <si>
    <t>Horseshoe Council Bluffs</t>
  </si>
  <si>
    <t>59,400 </t>
  </si>
  <si>
    <t>1,170 </t>
  </si>
  <si>
    <t>Horseshoe Hammond</t>
  </si>
  <si>
    <t>Hammond, IN</t>
  </si>
  <si>
    <t>109,600 </t>
  </si>
  <si>
    <t>80 </t>
  </si>
  <si>
    <t>Horseshoe St. Louis</t>
  </si>
  <si>
    <t>St. Louis, MO</t>
  </si>
  <si>
    <t>75,800 </t>
  </si>
  <si>
    <t>890 </t>
  </si>
  <si>
    <t>490 </t>
  </si>
  <si>
    <t>Horseshoe Tunica</t>
  </si>
  <si>
    <t>Tunica, MS</t>
  </si>
  <si>
    <t>63,000 </t>
  </si>
  <si>
    <t>Isle Casino Bettendorf</t>
  </si>
  <si>
    <t>Bettendorf, IA</t>
  </si>
  <si>
    <t>40,200 </t>
  </si>
  <si>
    <t>800 </t>
  </si>
  <si>
    <t>Isle Casino Waterloo</t>
  </si>
  <si>
    <t>Waterloo, IA</t>
  </si>
  <si>
    <t>39,200 </t>
  </si>
  <si>
    <t>Trop Casino Greenville</t>
  </si>
  <si>
    <t>Greenville, MS</t>
  </si>
  <si>
    <t>22,800 </t>
  </si>
  <si>
    <t>420 </t>
  </si>
  <si>
    <t>Tropicana Atlantic City</t>
  </si>
  <si>
    <t>119,900 </t>
  </si>
  <si>
    <t>2,360 </t>
  </si>
  <si>
    <t>Tropicana Laughlin Hotel &amp; Casino</t>
  </si>
  <si>
    <t>43,200 </t>
  </si>
  <si>
    <t>620 </t>
  </si>
  <si>
    <t>Managed and Branded Segment</t>
  </si>
  <si>
    <t>Managed</t>
  </si>
  <si>
    <t>Harrah’s Ak-Chin</t>
  </si>
  <si>
    <t>Phoenix, AZ</t>
  </si>
  <si>
    <t>64,800 </t>
  </si>
  <si>
    <t>1,150 </t>
  </si>
  <si>
    <t>530 </t>
  </si>
  <si>
    <t>Harrah’s Cherokee</t>
  </si>
  <si>
    <t>Cherokee, NC</t>
  </si>
  <si>
    <t>222,600 </t>
  </si>
  <si>
    <t>3,270 </t>
  </si>
  <si>
    <t>1,830 </t>
  </si>
  <si>
    <t>Harrah’s Cherokee Valley River</t>
  </si>
  <si>
    <t>Murphy, NC</t>
  </si>
  <si>
    <t>71,500 </t>
  </si>
  <si>
    <t>1,280 </t>
  </si>
  <si>
    <t>Harrah’s Resort Southern California</t>
  </si>
  <si>
    <t>Funner, CA</t>
  </si>
  <si>
    <t>72,900 </t>
  </si>
  <si>
    <t>1,430 </t>
  </si>
  <si>
    <t>1,090 </t>
  </si>
  <si>
    <t>Caesars Windsor</t>
  </si>
  <si>
    <t>Canada</t>
  </si>
  <si>
    <t>101,600 </t>
  </si>
  <si>
    <t>1,640 </t>
  </si>
  <si>
    <t>Branded</t>
  </si>
  <si>
    <t>Scottsdale, AZ</t>
  </si>
  <si>
    <t>270 </t>
  </si>
  <si>
    <t>Caesars Southern Indiana</t>
  </si>
  <si>
    <t>Elizabeth, IN</t>
  </si>
  <si>
    <t>74,400 </t>
  </si>
  <si>
    <t>970 </t>
  </si>
  <si>
    <t>500 </t>
  </si>
  <si>
    <t>Harrah’s Northern California</t>
  </si>
  <si>
    <t>Ione, CA</t>
  </si>
  <si>
    <t>30,100 </t>
  </si>
  <si>
    <t>730 </t>
  </si>
  <si>
    <t>Caesars Virginia (a)</t>
  </si>
  <si>
    <t>Harrah’s Columbus Nebraska (b)</t>
  </si>
  <si>
    <t>Caesars New Orleans (c)</t>
  </si>
  <si>
    <t>Caesars Republic Scottsdale (d)</t>
  </si>
  <si>
    <t>Slots</t>
  </si>
  <si>
    <t>Tables</t>
  </si>
  <si>
    <t>Hotel Rooms</t>
  </si>
  <si>
    <t>As of December 31, 2024</t>
  </si>
  <si>
    <t>Las Vegas</t>
  </si>
  <si>
    <t>Owned</t>
  </si>
  <si>
    <t>Casino YoY</t>
  </si>
  <si>
    <t>Food and Bev YoY</t>
  </si>
  <si>
    <t>Hotel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</si>
</sst>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i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9" fontId="1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left"/>
    </xf>
    <xf numFmtId="0" fontId="1" fillId="0" borderId="0" xfId="0" applyFont="1" applyBorder="1"/>
    <xf numFmtId="3" fontId="1" fillId="0" borderId="0" xfId="0" applyNumberFormat="1" applyFont="1" applyBorder="1"/>
    <xf numFmtId="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3AD9-A1D4-4900-8E2E-CCD1BD29C0F4}">
  <dimension ref="J1:L7"/>
  <sheetViews>
    <sheetView workbookViewId="0">
      <selection activeCell="K14" sqref="K14"/>
    </sheetView>
  </sheetViews>
  <sheetFormatPr defaultRowHeight="12.75" x14ac:dyDescent="0.2"/>
  <cols>
    <col min="1" max="10" width="9.140625" style="1"/>
    <col min="11" max="11" width="9.140625" style="3"/>
    <col min="12" max="16384" width="9.140625" style="1"/>
  </cols>
  <sheetData>
    <row r="1" spans="10:12" x14ac:dyDescent="0.2">
      <c r="K1" s="1"/>
    </row>
    <row r="2" spans="10:12" x14ac:dyDescent="0.2">
      <c r="J2" s="1" t="s">
        <v>0</v>
      </c>
      <c r="K2" s="1">
        <v>20.52</v>
      </c>
    </row>
    <row r="3" spans="10:12" x14ac:dyDescent="0.2">
      <c r="J3" s="1" t="s">
        <v>1</v>
      </c>
      <c r="K3" s="3">
        <v>204.10494299999999</v>
      </c>
      <c r="L3" s="1" t="s">
        <v>6</v>
      </c>
    </row>
    <row r="4" spans="10:12" x14ac:dyDescent="0.2">
      <c r="J4" s="1" t="s">
        <v>2</v>
      </c>
      <c r="K4" s="3">
        <f>+K2*K3</f>
        <v>4188.2334303600001</v>
      </c>
    </row>
    <row r="5" spans="10:12" x14ac:dyDescent="0.2">
      <c r="J5" s="1" t="s">
        <v>3</v>
      </c>
      <c r="K5" s="3">
        <v>836</v>
      </c>
    </row>
    <row r="6" spans="10:12" x14ac:dyDescent="0.2">
      <c r="J6" s="1" t="s">
        <v>4</v>
      </c>
      <c r="K6" s="3">
        <v>11681</v>
      </c>
    </row>
    <row r="7" spans="10:12" x14ac:dyDescent="0.2">
      <c r="J7" s="1" t="s">
        <v>5</v>
      </c>
      <c r="K7" s="3">
        <f>+K4-K5+K6</f>
        <v>15033.23343036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B364-F16B-49E9-8F39-1C31FEB089F1}">
  <dimension ref="A1:AD39"/>
  <sheetViews>
    <sheetView tabSelected="1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U13" sqref="U13"/>
    </sheetView>
  </sheetViews>
  <sheetFormatPr defaultRowHeight="12.75" x14ac:dyDescent="0.2"/>
  <cols>
    <col min="1" max="1" width="4.5703125" style="1" customWidth="1"/>
    <col min="2" max="2" width="27.42578125" style="1" customWidth="1"/>
    <col min="3" max="10" width="10.7109375" style="1" customWidth="1"/>
    <col min="11" max="16384" width="9.140625" style="3"/>
  </cols>
  <sheetData>
    <row r="1" spans="2:30" s="1" customFormat="1" x14ac:dyDescent="0.2"/>
    <row r="2" spans="2:30" s="1" customFormat="1" x14ac:dyDescent="0.2">
      <c r="C2" s="1" t="s">
        <v>43</v>
      </c>
      <c r="D2" s="1" t="s">
        <v>44</v>
      </c>
      <c r="E2" s="1" t="s">
        <v>45</v>
      </c>
      <c r="F2" s="1" t="s">
        <v>46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6</v>
      </c>
      <c r="V2" s="1" t="s">
        <v>30</v>
      </c>
      <c r="W2" s="1" t="s">
        <v>31</v>
      </c>
      <c r="AD2" s="1">
        <v>202</v>
      </c>
    </row>
    <row r="3" spans="2:30" x14ac:dyDescent="0.2">
      <c r="B3" s="1" t="s">
        <v>7</v>
      </c>
      <c r="G3" s="3">
        <v>1292</v>
      </c>
      <c r="H3" s="3">
        <v>1549</v>
      </c>
      <c r="I3" s="3">
        <v>1605</v>
      </c>
      <c r="J3" s="3">
        <v>1551</v>
      </c>
      <c r="K3" s="3">
        <v>1585</v>
      </c>
      <c r="L3" s="3">
        <v>1584</v>
      </c>
      <c r="M3" s="3">
        <v>1620</v>
      </c>
      <c r="N3" s="3">
        <v>1578</v>
      </c>
      <c r="O3" s="3">
        <v>1535</v>
      </c>
      <c r="P3" s="3">
        <v>1557</v>
      </c>
      <c r="Q3" s="3">
        <v>1599</v>
      </c>
      <c r="R3" s="3">
        <v>1578</v>
      </c>
      <c r="S3" s="3">
        <v>1594</v>
      </c>
      <c r="T3" s="3">
        <v>1668</v>
      </c>
      <c r="U3" s="3">
        <v>1642</v>
      </c>
      <c r="V3" s="3">
        <v>1576</v>
      </c>
    </row>
    <row r="4" spans="2:30" x14ac:dyDescent="0.2">
      <c r="B4" s="1" t="s">
        <v>8</v>
      </c>
      <c r="G4" s="3">
        <v>339</v>
      </c>
      <c r="H4" s="3">
        <v>422</v>
      </c>
      <c r="I4" s="3">
        <v>411</v>
      </c>
      <c r="J4" s="3">
        <v>424</v>
      </c>
      <c r="K4" s="3">
        <v>427</v>
      </c>
      <c r="L4" s="3">
        <v>435</v>
      </c>
      <c r="M4" s="3">
        <v>443</v>
      </c>
      <c r="N4" s="3">
        <v>423</v>
      </c>
      <c r="O4" s="3">
        <v>422</v>
      </c>
      <c r="P4" s="3">
        <v>435</v>
      </c>
      <c r="Q4" s="3">
        <v>438</v>
      </c>
      <c r="R4" s="3">
        <v>423</v>
      </c>
      <c r="S4" s="3">
        <v>435</v>
      </c>
      <c r="T4" s="3">
        <v>428</v>
      </c>
      <c r="U4" s="3">
        <v>436</v>
      </c>
      <c r="V4" s="3">
        <v>421</v>
      </c>
    </row>
    <row r="5" spans="2:30" x14ac:dyDescent="0.2">
      <c r="B5" s="1" t="s">
        <v>9</v>
      </c>
      <c r="G5" s="3">
        <v>383</v>
      </c>
      <c r="H5" s="3">
        <v>519</v>
      </c>
      <c r="I5" s="3">
        <v>544</v>
      </c>
      <c r="J5" s="3">
        <v>511</v>
      </c>
      <c r="K5" s="3">
        <v>503</v>
      </c>
      <c r="L5" s="3">
        <v>525</v>
      </c>
      <c r="M5" s="3">
        <v>553</v>
      </c>
      <c r="N5" s="3">
        <v>509</v>
      </c>
      <c r="O5" s="3">
        <v>493</v>
      </c>
      <c r="P5" s="3">
        <v>514</v>
      </c>
      <c r="Q5" s="3">
        <v>515</v>
      </c>
      <c r="R5" s="3">
        <v>509</v>
      </c>
      <c r="S5" s="3">
        <v>482</v>
      </c>
      <c r="T5" s="3">
        <v>509</v>
      </c>
      <c r="U5" s="3">
        <v>485</v>
      </c>
      <c r="V5" s="3">
        <v>494</v>
      </c>
    </row>
    <row r="6" spans="2:30" x14ac:dyDescent="0.2">
      <c r="B6" s="1" t="s">
        <v>10</v>
      </c>
      <c r="G6" s="3">
        <v>278</v>
      </c>
      <c r="H6" s="3">
        <v>331</v>
      </c>
      <c r="I6" s="3">
        <v>327</v>
      </c>
      <c r="J6" s="3">
        <v>335</v>
      </c>
      <c r="K6" s="3">
        <v>315</v>
      </c>
      <c r="L6" s="3">
        <v>335</v>
      </c>
      <c r="M6" s="3">
        <v>378</v>
      </c>
      <c r="N6" s="3">
        <v>315</v>
      </c>
      <c r="O6" s="3">
        <v>292</v>
      </c>
      <c r="P6" s="3">
        <v>324</v>
      </c>
      <c r="Q6" s="3">
        <v>322</v>
      </c>
      <c r="R6" s="3">
        <v>315</v>
      </c>
      <c r="S6" s="3">
        <v>283</v>
      </c>
      <c r="T6" s="3">
        <v>302</v>
      </c>
      <c r="U6" s="3">
        <v>306</v>
      </c>
      <c r="V6" s="3">
        <v>308</v>
      </c>
    </row>
    <row r="7" spans="2:30" s="5" customFormat="1" x14ac:dyDescent="0.2">
      <c r="B7" s="5" t="s">
        <v>11</v>
      </c>
      <c r="C7" s="5">
        <v>1792</v>
      </c>
      <c r="D7" s="5">
        <v>2502</v>
      </c>
      <c r="E7" s="5">
        <v>2685</v>
      </c>
      <c r="F7" s="5">
        <v>2591</v>
      </c>
      <c r="G7" s="5">
        <f>+SUM(G3:G6)</f>
        <v>2292</v>
      </c>
      <c r="H7" s="5">
        <f>+SUM(H3:H6)</f>
        <v>2821</v>
      </c>
      <c r="I7" s="5">
        <f>+SUM(I3:I6)</f>
        <v>2887</v>
      </c>
      <c r="J7" s="5">
        <f>+SUM(J3:J6)</f>
        <v>2821</v>
      </c>
      <c r="K7" s="5">
        <f>+SUM(K3:K6)</f>
        <v>2830</v>
      </c>
      <c r="L7" s="5">
        <f>+SUM(L3:L6)</f>
        <v>2879</v>
      </c>
      <c r="M7" s="5">
        <f>+SUM(M3:M6)</f>
        <v>2994</v>
      </c>
      <c r="N7" s="5">
        <f>+SUM(N3:N6)</f>
        <v>2825</v>
      </c>
      <c r="O7" s="5">
        <f>+SUM(O3:O6)</f>
        <v>2742</v>
      </c>
      <c r="P7" s="5">
        <f>+SUM(P3:P6)</f>
        <v>2830</v>
      </c>
      <c r="Q7" s="5">
        <f>+SUM(Q3:Q6)</f>
        <v>2874</v>
      </c>
      <c r="R7" s="5">
        <f>+SUM(R3:R6)</f>
        <v>2825</v>
      </c>
      <c r="S7" s="5">
        <f>+SUM(S3:S6)</f>
        <v>2794</v>
      </c>
      <c r="T7" s="5">
        <f>+SUM(T3:T6)</f>
        <v>2907</v>
      </c>
      <c r="U7" s="5">
        <f>+SUM(U3:U6)</f>
        <v>2869</v>
      </c>
      <c r="V7" s="5">
        <f>+SUM(V3:V6)</f>
        <v>2799</v>
      </c>
    </row>
    <row r="8" spans="2:30" x14ac:dyDescent="0.2">
      <c r="B8" s="1" t="s">
        <v>7</v>
      </c>
      <c r="G8" s="3">
        <v>1064</v>
      </c>
      <c r="H8" s="3">
        <v>825</v>
      </c>
      <c r="I8" s="3">
        <v>838</v>
      </c>
      <c r="J8" s="3">
        <v>799</v>
      </c>
      <c r="K8" s="3">
        <v>828</v>
      </c>
      <c r="L8" s="3">
        <v>817</v>
      </c>
      <c r="M8" s="3">
        <v>831</v>
      </c>
      <c r="N8" s="3">
        <v>866</v>
      </c>
      <c r="O8" s="3">
        <v>852</v>
      </c>
      <c r="P8" s="3">
        <v>817</v>
      </c>
      <c r="Q8" s="3">
        <v>828</v>
      </c>
      <c r="R8" s="3">
        <v>866</v>
      </c>
      <c r="S8" s="3">
        <v>861</v>
      </c>
      <c r="T8" s="3">
        <v>887</v>
      </c>
      <c r="U8" s="3">
        <v>909</v>
      </c>
      <c r="V8" s="3">
        <v>873</v>
      </c>
    </row>
    <row r="9" spans="2:30" x14ac:dyDescent="0.2">
      <c r="B9" s="1" t="s">
        <v>8</v>
      </c>
      <c r="G9" s="3">
        <v>202</v>
      </c>
      <c r="H9" s="3">
        <v>242</v>
      </c>
      <c r="I9" s="3">
        <v>240</v>
      </c>
      <c r="J9" s="3">
        <v>251</v>
      </c>
      <c r="K9" s="3">
        <v>251</v>
      </c>
      <c r="L9" s="3">
        <v>258</v>
      </c>
      <c r="M9" s="3">
        <v>266</v>
      </c>
      <c r="N9" s="3">
        <v>274</v>
      </c>
      <c r="O9" s="3">
        <v>263</v>
      </c>
      <c r="P9" s="3">
        <v>266</v>
      </c>
      <c r="Q9" s="3">
        <v>271</v>
      </c>
      <c r="R9" s="3">
        <v>274</v>
      </c>
      <c r="S9" s="3">
        <v>275</v>
      </c>
      <c r="T9" s="3">
        <v>275</v>
      </c>
      <c r="U9" s="3">
        <v>277</v>
      </c>
      <c r="V9" s="3">
        <v>273</v>
      </c>
    </row>
    <row r="10" spans="2:30" x14ac:dyDescent="0.2">
      <c r="B10" s="1" t="s">
        <v>9</v>
      </c>
      <c r="G10" s="3">
        <v>115</v>
      </c>
      <c r="H10" s="3">
        <v>134</v>
      </c>
      <c r="I10" s="3">
        <v>142</v>
      </c>
      <c r="J10" s="3">
        <v>138</v>
      </c>
      <c r="K10" s="3">
        <v>137</v>
      </c>
      <c r="L10" s="3">
        <v>143</v>
      </c>
      <c r="M10" s="3">
        <v>146</v>
      </c>
      <c r="N10" s="3">
        <v>144</v>
      </c>
      <c r="O10" s="3">
        <v>137</v>
      </c>
      <c r="P10" s="3">
        <v>139</v>
      </c>
      <c r="Q10" s="3">
        <v>152</v>
      </c>
      <c r="R10" s="3">
        <v>144</v>
      </c>
      <c r="S10" s="3">
        <v>151</v>
      </c>
      <c r="T10" s="3">
        <v>155</v>
      </c>
      <c r="U10" s="3">
        <v>156</v>
      </c>
      <c r="V10" s="3">
        <v>152</v>
      </c>
    </row>
    <row r="11" spans="2:30" x14ac:dyDescent="0.2">
      <c r="B11" s="1" t="s">
        <v>10</v>
      </c>
      <c r="G11" s="3">
        <v>88</v>
      </c>
      <c r="H11" s="3">
        <v>105</v>
      </c>
      <c r="I11" s="3">
        <v>105</v>
      </c>
      <c r="J11" s="3">
        <v>113</v>
      </c>
      <c r="K11" s="3">
        <v>107</v>
      </c>
      <c r="L11" s="3">
        <v>111</v>
      </c>
      <c r="M11" s="3">
        <v>118</v>
      </c>
      <c r="N11" s="3">
        <v>98</v>
      </c>
      <c r="O11" s="3">
        <v>94</v>
      </c>
      <c r="P11" s="3">
        <v>100</v>
      </c>
      <c r="Q11" s="3">
        <v>104</v>
      </c>
      <c r="R11" s="3">
        <f>98</f>
        <v>98</v>
      </c>
      <c r="S11" s="3">
        <v>95</v>
      </c>
      <c r="T11" s="3">
        <v>105</v>
      </c>
      <c r="U11" s="3">
        <v>114</v>
      </c>
      <c r="V11" s="3">
        <v>98</v>
      </c>
    </row>
    <row r="12" spans="2:30" x14ac:dyDescent="0.2">
      <c r="B12" s="1" t="s">
        <v>12</v>
      </c>
      <c r="G12" s="3">
        <v>499</v>
      </c>
      <c r="H12" s="3">
        <v>517</v>
      </c>
      <c r="I12" s="3">
        <v>529</v>
      </c>
      <c r="J12" s="3">
        <v>523</v>
      </c>
      <c r="K12" s="3">
        <v>509</v>
      </c>
      <c r="L12" s="3">
        <v>499</v>
      </c>
      <c r="M12" s="3">
        <v>528</v>
      </c>
      <c r="N12" s="3">
        <v>476</v>
      </c>
      <c r="O12" s="3">
        <v>500</v>
      </c>
      <c r="P12" s="3">
        <v>465</v>
      </c>
      <c r="Q12" s="3">
        <v>478</v>
      </c>
      <c r="R12" s="3">
        <v>476</v>
      </c>
      <c r="S12" s="3">
        <v>483</v>
      </c>
      <c r="T12" s="3">
        <v>477</v>
      </c>
      <c r="U12" s="3">
        <v>483</v>
      </c>
      <c r="V12" s="3">
        <v>477</v>
      </c>
    </row>
    <row r="13" spans="2:30" x14ac:dyDescent="0.2">
      <c r="B13" s="1" t="s">
        <v>13</v>
      </c>
      <c r="G13" s="3">
        <v>69</v>
      </c>
      <c r="H13" s="3">
        <v>76</v>
      </c>
      <c r="I13" s="3">
        <v>63</v>
      </c>
      <c r="J13" s="3">
        <v>78</v>
      </c>
      <c r="K13" s="3">
        <v>79</v>
      </c>
      <c r="L13" s="3">
        <v>86</v>
      </c>
      <c r="M13" s="3">
        <v>74</v>
      </c>
      <c r="N13" s="3">
        <v>67</v>
      </c>
      <c r="O13" s="3">
        <v>78</v>
      </c>
      <c r="P13" s="3">
        <v>80</v>
      </c>
      <c r="Q13" s="3">
        <v>76</v>
      </c>
      <c r="R13" s="3">
        <v>67</v>
      </c>
      <c r="S13" s="3">
        <v>82</v>
      </c>
      <c r="T13" s="3">
        <v>84</v>
      </c>
      <c r="U13" s="3">
        <v>75</v>
      </c>
      <c r="V13" s="3">
        <v>73</v>
      </c>
    </row>
    <row r="14" spans="2:30" x14ac:dyDescent="0.2">
      <c r="B14" s="1" t="s">
        <v>14</v>
      </c>
      <c r="G14" s="3">
        <v>300</v>
      </c>
      <c r="H14" s="3">
        <v>306</v>
      </c>
      <c r="I14" s="3">
        <v>304</v>
      </c>
      <c r="J14" s="3">
        <v>295</v>
      </c>
      <c r="K14" s="3">
        <v>300</v>
      </c>
      <c r="L14" s="3">
        <v>323</v>
      </c>
      <c r="M14" s="3">
        <v>320</v>
      </c>
      <c r="N14" s="3">
        <v>318</v>
      </c>
      <c r="O14" s="3">
        <v>327</v>
      </c>
      <c r="P14" s="3">
        <v>326</v>
      </c>
      <c r="Q14" s="3">
        <v>326</v>
      </c>
      <c r="R14" s="3">
        <v>318</v>
      </c>
      <c r="S14" s="3">
        <v>357</v>
      </c>
      <c r="T14" s="3">
        <v>364</v>
      </c>
      <c r="U14" s="3">
        <v>352</v>
      </c>
      <c r="V14" s="3">
        <v>345</v>
      </c>
    </row>
    <row r="15" spans="2:30" x14ac:dyDescent="0.2">
      <c r="B15" s="1" t="s">
        <v>38</v>
      </c>
      <c r="G15" s="3">
        <v>-35</v>
      </c>
      <c r="H15" s="3">
        <v>14</v>
      </c>
      <c r="I15" s="3">
        <v>7</v>
      </c>
      <c r="J15" s="3">
        <f>28+108</f>
        <v>136</v>
      </c>
      <c r="K15" s="3">
        <v>16</v>
      </c>
      <c r="L15" s="3">
        <v>33</v>
      </c>
      <c r="M15" s="3">
        <v>-13</v>
      </c>
      <c r="N15" s="3">
        <f>-49</f>
        <v>-49</v>
      </c>
      <c r="O15" s="3">
        <v>6</v>
      </c>
      <c r="P15" s="3">
        <f>13</f>
        <v>13</v>
      </c>
      <c r="Q15" s="3">
        <v>-5</v>
      </c>
      <c r="R15" s="3">
        <v>-49</v>
      </c>
      <c r="S15" s="3">
        <v>2</v>
      </c>
      <c r="T15" s="3">
        <v>34</v>
      </c>
      <c r="U15" s="3">
        <v>-10</v>
      </c>
      <c r="V15" s="3">
        <f>-345</f>
        <v>-345</v>
      </c>
    </row>
    <row r="16" spans="2:30" x14ac:dyDescent="0.2">
      <c r="B16" s="1" t="s">
        <v>15</v>
      </c>
      <c r="G16" s="3">
        <f>+SUM(G8:G15)</f>
        <v>2302</v>
      </c>
      <c r="H16" s="3">
        <f>+SUM(H8:H15)</f>
        <v>2219</v>
      </c>
      <c r="I16" s="3">
        <f>+SUM(I8:I15)</f>
        <v>2228</v>
      </c>
      <c r="J16" s="3">
        <f>+SUM(J8:J15)</f>
        <v>2333</v>
      </c>
      <c r="K16" s="3">
        <f>+SUM(K8:K15)</f>
        <v>2227</v>
      </c>
      <c r="L16" s="3">
        <f>+SUM(L8:L15)</f>
        <v>2270</v>
      </c>
      <c r="M16" s="3">
        <f>+SUM(M8:M15)</f>
        <v>2270</v>
      </c>
      <c r="N16" s="3">
        <f>+SUM(N8:N15)</f>
        <v>2194</v>
      </c>
      <c r="O16" s="3">
        <f>+SUM(O8:O15)</f>
        <v>2257</v>
      </c>
      <c r="P16" s="3">
        <f>+SUM(P8:P15)</f>
        <v>2206</v>
      </c>
      <c r="Q16" s="3">
        <f>+SUM(Q8:Q15)</f>
        <v>2230</v>
      </c>
      <c r="R16" s="3">
        <f>+SUM(R8:R15)</f>
        <v>2194</v>
      </c>
      <c r="S16" s="3">
        <f>+SUM(S8:S15)</f>
        <v>2306</v>
      </c>
      <c r="T16" s="3">
        <f>+SUM(T8:T15)</f>
        <v>2381</v>
      </c>
      <c r="U16" s="3">
        <f>+SUM(U8:U15)</f>
        <v>2356</v>
      </c>
      <c r="V16" s="3">
        <f>+SUM(V8:V15)</f>
        <v>1946</v>
      </c>
    </row>
    <row r="17" spans="1:22" x14ac:dyDescent="0.2">
      <c r="B17" s="1" t="s">
        <v>16</v>
      </c>
      <c r="G17" s="3">
        <f>+G7-G16</f>
        <v>-10</v>
      </c>
      <c r="H17" s="3">
        <f>+H7-H16</f>
        <v>602</v>
      </c>
      <c r="I17" s="3">
        <f>+I7-I16</f>
        <v>659</v>
      </c>
      <c r="J17" s="3">
        <f>+J7-J16</f>
        <v>488</v>
      </c>
      <c r="K17" s="3">
        <f>+K7-K16</f>
        <v>603</v>
      </c>
      <c r="L17" s="3">
        <f>+L7-L16</f>
        <v>609</v>
      </c>
      <c r="M17" s="3">
        <f>+M7-M16</f>
        <v>724</v>
      </c>
      <c r="N17" s="3">
        <f>+N7-N16</f>
        <v>631</v>
      </c>
      <c r="O17" s="3">
        <f>+O7-O16</f>
        <v>485</v>
      </c>
      <c r="P17" s="3">
        <f>+P7-P16</f>
        <v>624</v>
      </c>
      <c r="Q17" s="3">
        <f>+Q7-Q16</f>
        <v>644</v>
      </c>
      <c r="R17" s="3">
        <f>+R7-R16</f>
        <v>631</v>
      </c>
      <c r="S17" s="3">
        <f>+S7-S16</f>
        <v>488</v>
      </c>
      <c r="T17" s="3">
        <f>+T7-T16</f>
        <v>526</v>
      </c>
      <c r="U17" s="3">
        <f>+U7-U16</f>
        <v>513</v>
      </c>
      <c r="V17" s="3">
        <f>+V7-V16</f>
        <v>853</v>
      </c>
    </row>
    <row r="18" spans="1:22" x14ac:dyDescent="0.2">
      <c r="B18" s="1" t="s">
        <v>17</v>
      </c>
      <c r="G18" s="3">
        <v>-548</v>
      </c>
      <c r="H18" s="3">
        <v>-514</v>
      </c>
      <c r="I18" s="3">
        <v>-598</v>
      </c>
      <c r="J18" s="3">
        <v>-644</v>
      </c>
      <c r="K18" s="3">
        <v>-788</v>
      </c>
      <c r="L18" s="3">
        <v>-583</v>
      </c>
      <c r="M18" s="3">
        <v>-585</v>
      </c>
      <c r="N18" s="3">
        <v>-576</v>
      </c>
      <c r="O18" s="3">
        <v>-612</v>
      </c>
      <c r="P18" s="3">
        <v>-598</v>
      </c>
      <c r="Q18" s="3">
        <v>-592</v>
      </c>
      <c r="R18" s="3">
        <v>-576</v>
      </c>
      <c r="S18" s="3">
        <v>-575</v>
      </c>
      <c r="T18" s="3">
        <v>-578</v>
      </c>
      <c r="U18" s="3">
        <v>-577</v>
      </c>
      <c r="V18" s="3">
        <v>-626</v>
      </c>
    </row>
    <row r="19" spans="1:22" x14ac:dyDescent="0.2">
      <c r="B19" s="1" t="s">
        <v>18</v>
      </c>
      <c r="G19" s="3">
        <f>+G17+G18</f>
        <v>-558</v>
      </c>
      <c r="H19" s="3">
        <f>+H17+H18</f>
        <v>88</v>
      </c>
      <c r="I19" s="3">
        <f>+I17+I18</f>
        <v>61</v>
      </c>
      <c r="J19" s="3">
        <f>+J17+J18</f>
        <v>-156</v>
      </c>
      <c r="K19" s="3">
        <f>+K17+K18</f>
        <v>-185</v>
      </c>
      <c r="L19" s="3">
        <f>+L17+L18</f>
        <v>26</v>
      </c>
      <c r="M19" s="3">
        <f>+M17+M18</f>
        <v>139</v>
      </c>
      <c r="N19" s="3">
        <f>+N17+N18</f>
        <v>55</v>
      </c>
      <c r="O19" s="3">
        <f>+O17+O18</f>
        <v>-127</v>
      </c>
      <c r="P19" s="3">
        <f>+P17+P18</f>
        <v>26</v>
      </c>
      <c r="Q19" s="3">
        <f>+Q17+Q18</f>
        <v>52</v>
      </c>
      <c r="R19" s="3">
        <f>+R17+R18</f>
        <v>55</v>
      </c>
      <c r="S19" s="3">
        <f>+S17+S18</f>
        <v>-87</v>
      </c>
      <c r="T19" s="3">
        <f>+T17+T18</f>
        <v>-52</v>
      </c>
      <c r="U19" s="3">
        <f>+U17+U18</f>
        <v>-64</v>
      </c>
      <c r="V19" s="3">
        <f>+V17+V18</f>
        <v>227</v>
      </c>
    </row>
    <row r="20" spans="1:22" x14ac:dyDescent="0.2">
      <c r="B20" s="1" t="s">
        <v>19</v>
      </c>
      <c r="G20" s="3">
        <v>-107</v>
      </c>
      <c r="H20" s="3">
        <v>52</v>
      </c>
      <c r="I20" s="3">
        <v>8</v>
      </c>
      <c r="J20" s="3">
        <v>-6</v>
      </c>
      <c r="K20" s="3">
        <v>-49</v>
      </c>
      <c r="L20" s="3">
        <v>-902</v>
      </c>
      <c r="M20" s="3">
        <v>47</v>
      </c>
      <c r="N20" s="3">
        <v>16</v>
      </c>
      <c r="O20" s="3">
        <v>15</v>
      </c>
      <c r="P20" s="3">
        <v>10</v>
      </c>
      <c r="Q20" s="3">
        <v>43</v>
      </c>
      <c r="R20" s="3">
        <v>16</v>
      </c>
      <c r="S20" s="3">
        <v>11</v>
      </c>
      <c r="T20" s="3">
        <v>13</v>
      </c>
      <c r="U20" s="3">
        <v>-25</v>
      </c>
      <c r="V20" s="3">
        <v>19</v>
      </c>
    </row>
    <row r="21" spans="1:22" x14ac:dyDescent="0.2">
      <c r="B21" s="1" t="s">
        <v>33</v>
      </c>
      <c r="G21" s="3">
        <f>+G19-G20</f>
        <v>-451</v>
      </c>
      <c r="H21" s="3">
        <f>+H19-H20</f>
        <v>36</v>
      </c>
      <c r="I21" s="3">
        <f>+I19-I20</f>
        <v>53</v>
      </c>
      <c r="J21" s="3">
        <f>+J19-J20</f>
        <v>-150</v>
      </c>
      <c r="K21" s="3">
        <f>+K19-K20</f>
        <v>-136</v>
      </c>
      <c r="L21" s="3">
        <f>+L19-L20</f>
        <v>928</v>
      </c>
      <c r="M21" s="3">
        <f>+M19-M20</f>
        <v>92</v>
      </c>
      <c r="N21" s="3">
        <f>+N19-N20</f>
        <v>39</v>
      </c>
      <c r="O21" s="3">
        <f>+O19-O20</f>
        <v>-142</v>
      </c>
      <c r="P21" s="3">
        <f>+P19-P20</f>
        <v>16</v>
      </c>
      <c r="Q21" s="3">
        <f>+Q19-Q20</f>
        <v>9</v>
      </c>
      <c r="R21" s="3">
        <f>+R19-R20</f>
        <v>39</v>
      </c>
      <c r="S21" s="3">
        <f>+S19-S20</f>
        <v>-98</v>
      </c>
      <c r="T21" s="3">
        <f>+T19-T20</f>
        <v>-65</v>
      </c>
      <c r="U21" s="3">
        <f>+U19-U20</f>
        <v>-39</v>
      </c>
      <c r="V21" s="3">
        <f>+V19-V20</f>
        <v>208</v>
      </c>
    </row>
    <row r="22" spans="1:22" s="5" customFormat="1" x14ac:dyDescent="0.2">
      <c r="A22" s="4"/>
      <c r="B22" s="4" t="s">
        <v>34</v>
      </c>
      <c r="C22" s="4"/>
      <c r="D22" s="4"/>
      <c r="E22" s="4"/>
      <c r="F22" s="4"/>
      <c r="G22" s="5">
        <f>+G21</f>
        <v>-451</v>
      </c>
      <c r="H22" s="5">
        <f>+H21-2</f>
        <v>34</v>
      </c>
      <c r="I22" s="5">
        <f>+I21-1</f>
        <v>52</v>
      </c>
      <c r="J22" s="5">
        <f>+J21+14</f>
        <v>-136</v>
      </c>
      <c r="K22" s="5">
        <f>+K21</f>
        <v>-136</v>
      </c>
      <c r="L22" s="5">
        <f>+L21-8</f>
        <v>920</v>
      </c>
      <c r="M22" s="5">
        <f>+M21-18</f>
        <v>74</v>
      </c>
      <c r="N22" s="5">
        <f>+N21-16</f>
        <v>23</v>
      </c>
      <c r="O22" s="5">
        <f>+O21-16</f>
        <v>-158</v>
      </c>
      <c r="P22" s="5">
        <f>+P21-20</f>
        <v>-4</v>
      </c>
      <c r="Q22" s="5">
        <f>+Q21-18</f>
        <v>-9</v>
      </c>
      <c r="R22" s="5">
        <f>+R21-16</f>
        <v>23</v>
      </c>
      <c r="S22" s="5">
        <f>+S21-17</f>
        <v>-115</v>
      </c>
      <c r="T22" s="5">
        <f>+T21-17</f>
        <v>-82</v>
      </c>
      <c r="U22" s="5">
        <f>+U21-16</f>
        <v>-55</v>
      </c>
      <c r="V22" s="5">
        <f>+V21-13</f>
        <v>195</v>
      </c>
    </row>
    <row r="23" spans="1:22" s="2" customFormat="1" x14ac:dyDescent="0.2">
      <c r="B23" s="2" t="s">
        <v>1</v>
      </c>
      <c r="G23" s="3">
        <v>216</v>
      </c>
      <c r="H23" s="3">
        <v>216</v>
      </c>
      <c r="I23" s="3">
        <v>215</v>
      </c>
      <c r="J23" s="3">
        <v>215</v>
      </c>
      <c r="K23" s="3">
        <v>216</v>
      </c>
      <c r="L23" s="3">
        <v>216</v>
      </c>
      <c r="M23" s="3">
        <v>216</v>
      </c>
      <c r="N23" s="3">
        <v>216</v>
      </c>
      <c r="O23" s="3">
        <v>216</v>
      </c>
      <c r="P23" s="3">
        <v>216</v>
      </c>
      <c r="Q23" s="3">
        <v>215</v>
      </c>
      <c r="R23" s="3">
        <v>216</v>
      </c>
      <c r="S23" s="3">
        <v>212</v>
      </c>
      <c r="T23" s="3">
        <v>209</v>
      </c>
      <c r="U23" s="3">
        <v>207</v>
      </c>
      <c r="V23" s="3">
        <v>212</v>
      </c>
    </row>
    <row r="24" spans="1:22" x14ac:dyDescent="0.2">
      <c r="B24" s="1" t="s">
        <v>32</v>
      </c>
      <c r="G24" s="2">
        <f>+G22/G23</f>
        <v>-2.0879629629629628</v>
      </c>
      <c r="H24" s="2">
        <f>+H22/H23</f>
        <v>0.15740740740740741</v>
      </c>
      <c r="I24" s="2">
        <f>+I22/I23</f>
        <v>0.24186046511627907</v>
      </c>
      <c r="J24" s="2">
        <f>+J22/J23</f>
        <v>-0.63255813953488371</v>
      </c>
      <c r="K24" s="2">
        <f>+K22/K23</f>
        <v>-0.62962962962962965</v>
      </c>
      <c r="L24" s="2">
        <f>+L22/L23</f>
        <v>4.2592592592592595</v>
      </c>
      <c r="M24" s="2">
        <f>+M22/M23</f>
        <v>0.34259259259259262</v>
      </c>
      <c r="N24" s="2">
        <f>+N22/N23</f>
        <v>0.10648148148148148</v>
      </c>
      <c r="O24" s="2">
        <f>+O22/O23</f>
        <v>-0.73148148148148151</v>
      </c>
      <c r="P24" s="2">
        <f>+P22/P23</f>
        <v>-1.8518518518518517E-2</v>
      </c>
      <c r="Q24" s="2">
        <f>+Q22/Q23</f>
        <v>-4.1860465116279069E-2</v>
      </c>
      <c r="R24" s="2">
        <f>+R22/R23</f>
        <v>0.10648148148148148</v>
      </c>
      <c r="S24" s="2">
        <f>+S22/S23</f>
        <v>-0.54245283018867929</v>
      </c>
      <c r="T24" s="2">
        <f>+T22/T23</f>
        <v>-0.3923444976076555</v>
      </c>
      <c r="U24" s="2">
        <f>+U22/U23</f>
        <v>-0.26570048309178745</v>
      </c>
      <c r="V24" s="2">
        <f>+V22/V23</f>
        <v>0.91981132075471694</v>
      </c>
    </row>
    <row r="25" spans="1:22" x14ac:dyDescent="0.2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"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">
      <c r="B27" s="1" t="s">
        <v>293</v>
      </c>
      <c r="G27" s="2"/>
      <c r="H27" s="2"/>
      <c r="I27" s="2"/>
      <c r="J27" s="2"/>
      <c r="K27" s="6">
        <f t="shared" ref="K27:V27" si="0">+(K3-G3)/G3</f>
        <v>0.22678018575851394</v>
      </c>
      <c r="L27" s="6">
        <f t="shared" si="0"/>
        <v>2.2595222724338282E-2</v>
      </c>
      <c r="M27" s="6">
        <f t="shared" si="0"/>
        <v>9.3457943925233638E-3</v>
      </c>
      <c r="N27" s="6">
        <f t="shared" si="0"/>
        <v>1.7408123791102514E-2</v>
      </c>
      <c r="O27" s="6">
        <f t="shared" si="0"/>
        <v>-3.1545741324921134E-2</v>
      </c>
      <c r="P27" s="6">
        <f t="shared" si="0"/>
        <v>-1.7045454545454544E-2</v>
      </c>
      <c r="Q27" s="6">
        <f t="shared" si="0"/>
        <v>-1.2962962962962963E-2</v>
      </c>
      <c r="R27" s="6">
        <f t="shared" si="0"/>
        <v>0</v>
      </c>
      <c r="S27" s="6">
        <f t="shared" si="0"/>
        <v>3.8436482084690554E-2</v>
      </c>
      <c r="T27" s="6">
        <f t="shared" si="0"/>
        <v>7.1290944123314062E-2</v>
      </c>
      <c r="U27" s="6">
        <f t="shared" si="0"/>
        <v>2.6891807379612259E-2</v>
      </c>
      <c r="V27" s="6">
        <f t="shared" si="0"/>
        <v>-1.2674271229404308E-3</v>
      </c>
    </row>
    <row r="28" spans="1:22" x14ac:dyDescent="0.2">
      <c r="B28" s="1" t="s">
        <v>294</v>
      </c>
      <c r="G28" s="2"/>
      <c r="H28" s="2"/>
      <c r="I28" s="2"/>
      <c r="J28" s="2"/>
      <c r="K28" s="6">
        <f t="shared" ref="K28:V28" si="1">+(K4-G4)/G4</f>
        <v>0.25958702064896755</v>
      </c>
      <c r="L28" s="6">
        <f t="shared" si="1"/>
        <v>3.0805687203791468E-2</v>
      </c>
      <c r="M28" s="6">
        <f t="shared" si="1"/>
        <v>7.785888077858881E-2</v>
      </c>
      <c r="N28" s="6">
        <f t="shared" si="1"/>
        <v>-2.3584905660377358E-3</v>
      </c>
      <c r="O28" s="6">
        <f t="shared" si="1"/>
        <v>-1.1709601873536301E-2</v>
      </c>
      <c r="P28" s="6">
        <f t="shared" si="1"/>
        <v>0</v>
      </c>
      <c r="Q28" s="6">
        <f t="shared" si="1"/>
        <v>-1.1286681715575621E-2</v>
      </c>
      <c r="R28" s="6">
        <f t="shared" si="1"/>
        <v>0</v>
      </c>
      <c r="S28" s="6">
        <f t="shared" si="1"/>
        <v>3.0805687203791468E-2</v>
      </c>
      <c r="T28" s="6">
        <f t="shared" si="1"/>
        <v>-1.6091954022988506E-2</v>
      </c>
      <c r="U28" s="6">
        <f t="shared" si="1"/>
        <v>-4.5662100456621002E-3</v>
      </c>
      <c r="V28" s="6">
        <f t="shared" si="1"/>
        <v>-4.7281323877068557E-3</v>
      </c>
    </row>
    <row r="29" spans="1:22" x14ac:dyDescent="0.2">
      <c r="B29" s="1" t="s">
        <v>295</v>
      </c>
      <c r="G29" s="6"/>
      <c r="H29" s="6"/>
      <c r="I29" s="6"/>
      <c r="J29" s="6"/>
      <c r="K29" s="6">
        <f t="shared" ref="G29:M29" si="2">+(K5-G5)/G5</f>
        <v>0.3133159268929504</v>
      </c>
      <c r="L29" s="6">
        <f t="shared" si="2"/>
        <v>1.1560693641618497E-2</v>
      </c>
      <c r="M29" s="6">
        <f t="shared" si="2"/>
        <v>1.6544117647058824E-2</v>
      </c>
      <c r="N29" s="6">
        <f>+(N5-J5)/J5</f>
        <v>-3.9138943248532287E-3</v>
      </c>
      <c r="O29" s="6">
        <f t="shared" ref="O29:V29" si="3">+(O5-K5)/K5</f>
        <v>-1.9880715705765408E-2</v>
      </c>
      <c r="P29" s="6">
        <f t="shared" si="3"/>
        <v>-2.0952380952380951E-2</v>
      </c>
      <c r="Q29" s="6">
        <f t="shared" si="3"/>
        <v>-6.8716094032549732E-2</v>
      </c>
      <c r="R29" s="6">
        <f t="shared" si="3"/>
        <v>0</v>
      </c>
      <c r="S29" s="16">
        <f t="shared" si="3"/>
        <v>-2.231237322515213E-2</v>
      </c>
      <c r="T29" s="16">
        <f t="shared" si="3"/>
        <v>-9.727626459143969E-3</v>
      </c>
      <c r="U29" s="16">
        <f t="shared" si="3"/>
        <v>-5.8252427184466021E-2</v>
      </c>
      <c r="V29" s="16">
        <f t="shared" si="3"/>
        <v>-2.9469548133595286E-2</v>
      </c>
    </row>
    <row r="30" spans="1:22" s="7" customFormat="1" x14ac:dyDescent="0.2">
      <c r="A30" s="4"/>
      <c r="B30" s="7" t="s">
        <v>37</v>
      </c>
      <c r="G30" s="7">
        <f>+(G7-C7)/C7</f>
        <v>0.27901785714285715</v>
      </c>
      <c r="H30" s="7">
        <f>+(H7-D7)/D7</f>
        <v>0.12749800159872102</v>
      </c>
      <c r="I30" s="7">
        <f>+(I7-E7)/E7</f>
        <v>7.523277467411546E-2</v>
      </c>
      <c r="J30" s="7">
        <f>+(J7-F7)/F7</f>
        <v>8.8768815129293716E-2</v>
      </c>
      <c r="K30" s="7">
        <f>+(K7-G7)/G7</f>
        <v>0.23472949389179756</v>
      </c>
      <c r="L30" s="7">
        <f>+(L7-H7)/H7</f>
        <v>2.056008507621411E-2</v>
      </c>
      <c r="M30" s="7">
        <f>+(M7-I7)/I7</f>
        <v>3.7062694838933145E-2</v>
      </c>
      <c r="N30" s="7">
        <f>+(N7-J7)/J7</f>
        <v>1.4179369018078695E-3</v>
      </c>
      <c r="O30" s="7">
        <f>+(O7-K7)/K7</f>
        <v>-3.109540636042403E-2</v>
      </c>
      <c r="P30" s="7">
        <f>+(P7-L7)/L7</f>
        <v>-1.7019798541160126E-2</v>
      </c>
      <c r="Q30" s="7">
        <f>+(Q7-M7)/M7</f>
        <v>-4.0080160320641281E-2</v>
      </c>
      <c r="R30" s="7">
        <f>+(R7-N7)/N7</f>
        <v>0</v>
      </c>
      <c r="S30" s="7">
        <f>+(S7-O7)/O7</f>
        <v>1.8964259664478483E-2</v>
      </c>
      <c r="T30" s="7">
        <f>+(T7-P7)/P7</f>
        <v>2.7208480565371024E-2</v>
      </c>
      <c r="U30" s="7">
        <f>+(U7-Q7)/Q7</f>
        <v>-1.7397355601948504E-3</v>
      </c>
      <c r="V30" s="7">
        <f>+(V7-R7)/R7</f>
        <v>-9.2035398230088487E-3</v>
      </c>
    </row>
    <row r="31" spans="1:22" x14ac:dyDescent="0.2">
      <c r="A31" s="6"/>
      <c r="G31" s="3"/>
      <c r="H31" s="3"/>
      <c r="I31" s="3"/>
      <c r="J31" s="3"/>
    </row>
    <row r="32" spans="1:22" x14ac:dyDescent="0.2">
      <c r="B32" s="3"/>
      <c r="G32" s="3"/>
      <c r="H32" s="3"/>
      <c r="I32" s="3"/>
      <c r="J32" s="3"/>
    </row>
    <row r="33" spans="1:22" x14ac:dyDescent="0.2">
      <c r="G33" s="3"/>
      <c r="H33" s="3"/>
      <c r="I33" s="3"/>
      <c r="J33" s="3"/>
    </row>
    <row r="34" spans="1:22" x14ac:dyDescent="0.2">
      <c r="G34" s="3"/>
      <c r="H34" s="3"/>
      <c r="I34" s="3"/>
      <c r="J34" s="3"/>
    </row>
    <row r="35" spans="1:22" s="15" customFormat="1" x14ac:dyDescent="0.2">
      <c r="A35" s="1"/>
      <c r="B35" s="14"/>
      <c r="C35" s="14"/>
      <c r="D35" s="14"/>
      <c r="E35" s="14"/>
      <c r="F35" s="14"/>
    </row>
    <row r="36" spans="1:22" x14ac:dyDescent="0.2">
      <c r="A36" s="14"/>
      <c r="G36" s="3"/>
      <c r="H36" s="3"/>
      <c r="I36" s="3"/>
      <c r="J36" s="3"/>
    </row>
    <row r="37" spans="1:22" x14ac:dyDescent="0.2">
      <c r="G37" s="3"/>
      <c r="H37" s="3"/>
      <c r="I37" s="3"/>
      <c r="J37" s="3"/>
    </row>
    <row r="38" spans="1:22" x14ac:dyDescent="0.2">
      <c r="B38" s="1" t="s">
        <v>36</v>
      </c>
      <c r="G38" s="3">
        <f>+G22</f>
        <v>-451</v>
      </c>
      <c r="H38" s="3">
        <f>+H22</f>
        <v>34</v>
      </c>
      <c r="I38" s="3">
        <f>+I22</f>
        <v>52</v>
      </c>
      <c r="J38" s="3">
        <f>+J22</f>
        <v>-136</v>
      </c>
      <c r="K38" s="3">
        <f>+K22</f>
        <v>-136</v>
      </c>
      <c r="L38" s="3">
        <f>+L22</f>
        <v>920</v>
      </c>
      <c r="M38" s="3">
        <f>+M22</f>
        <v>74</v>
      </c>
      <c r="N38" s="3">
        <f>+N22</f>
        <v>23</v>
      </c>
      <c r="O38" s="3">
        <f>+O22</f>
        <v>-158</v>
      </c>
      <c r="P38" s="3">
        <f t="shared" ref="P38:V38" si="4">+P22</f>
        <v>-4</v>
      </c>
      <c r="Q38" s="3">
        <f t="shared" si="4"/>
        <v>-9</v>
      </c>
      <c r="R38" s="3">
        <f t="shared" si="4"/>
        <v>23</v>
      </c>
      <c r="S38" s="3">
        <f t="shared" si="4"/>
        <v>-115</v>
      </c>
      <c r="T38" s="3">
        <f t="shared" si="4"/>
        <v>-82</v>
      </c>
      <c r="U38" s="3">
        <f t="shared" si="4"/>
        <v>-55</v>
      </c>
      <c r="V38" s="3">
        <f t="shared" si="4"/>
        <v>195</v>
      </c>
    </row>
    <row r="39" spans="1:22" x14ac:dyDescent="0.2">
      <c r="B39" s="1" t="s">
        <v>35</v>
      </c>
      <c r="G39" s="3">
        <v>-680</v>
      </c>
      <c r="H39" s="3">
        <v>-123</v>
      </c>
      <c r="I39" s="3">
        <f>+I38</f>
        <v>52</v>
      </c>
      <c r="J39" s="3">
        <v>-148</v>
      </c>
      <c r="K39" s="3">
        <f>+K38</f>
        <v>-136</v>
      </c>
      <c r="L39" s="3">
        <f>+L38</f>
        <v>920</v>
      </c>
      <c r="M39" s="3">
        <f>+M38</f>
        <v>74</v>
      </c>
      <c r="N39" s="3">
        <v>-72</v>
      </c>
      <c r="O39" s="3">
        <f>+O38</f>
        <v>-158</v>
      </c>
      <c r="P39" s="3">
        <f>+P38-118</f>
        <v>-122</v>
      </c>
      <c r="Q39" s="3">
        <f>+Q38</f>
        <v>-9</v>
      </c>
      <c r="R39" s="3">
        <f>+R38-95</f>
        <v>-72</v>
      </c>
      <c r="S39" s="3">
        <f>+S38</f>
        <v>-115</v>
      </c>
      <c r="T39" s="3">
        <f>+T38</f>
        <v>-82</v>
      </c>
      <c r="U39" s="3">
        <f>+U38</f>
        <v>-55</v>
      </c>
      <c r="V39" s="3">
        <f>+V38</f>
        <v>195</v>
      </c>
    </row>
  </sheetData>
  <pageMargins left="0.7" right="0.7" top="0.75" bottom="0.75" header="0.3" footer="0.3"/>
  <ignoredErrors>
    <ignoredError sqref="U22 R39 P3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8D0A-9EAB-4CC1-92FC-8CD4A6D92502}">
  <dimension ref="B2:H63"/>
  <sheetViews>
    <sheetView topLeftCell="B1" workbookViewId="0">
      <selection activeCell="E42" sqref="E42"/>
    </sheetView>
  </sheetViews>
  <sheetFormatPr defaultRowHeight="12.75" x14ac:dyDescent="0.2"/>
  <cols>
    <col min="1" max="1" width="9.140625" style="1"/>
    <col min="2" max="2" width="34.42578125" style="1" bestFit="1" customWidth="1"/>
    <col min="3" max="3" width="18.28515625" style="1" bestFit="1" customWidth="1"/>
    <col min="4" max="4" width="8.140625" style="11" bestFit="1" customWidth="1"/>
    <col min="5" max="5" width="9" style="11" bestFit="1" customWidth="1"/>
    <col min="6" max="6" width="7" style="11" bestFit="1" customWidth="1"/>
    <col min="7" max="7" width="12.42578125" style="11" bestFit="1" customWidth="1"/>
    <col min="8" max="16384" width="9.140625" style="1"/>
  </cols>
  <sheetData>
    <row r="2" spans="2:8" x14ac:dyDescent="0.2">
      <c r="B2" s="10" t="s">
        <v>290</v>
      </c>
    </row>
    <row r="3" spans="2:8" s="9" customFormat="1" x14ac:dyDescent="0.2">
      <c r="B3" s="9" t="s">
        <v>47</v>
      </c>
      <c r="C3" s="9" t="s">
        <v>48</v>
      </c>
      <c r="D3" s="13" t="s">
        <v>49</v>
      </c>
      <c r="E3" s="13" t="s">
        <v>287</v>
      </c>
      <c r="F3" s="13" t="s">
        <v>288</v>
      </c>
      <c r="G3" s="13" t="s">
        <v>289</v>
      </c>
    </row>
    <row r="4" spans="2:8" s="9" customFormat="1" x14ac:dyDescent="0.2">
      <c r="B4" s="8" t="s">
        <v>291</v>
      </c>
      <c r="D4" s="12"/>
      <c r="E4" s="12"/>
      <c r="F4" s="12"/>
      <c r="G4" s="12"/>
    </row>
    <row r="5" spans="2:8" x14ac:dyDescent="0.2">
      <c r="B5" s="1" t="s">
        <v>50</v>
      </c>
      <c r="C5" s="1" t="s">
        <v>51</v>
      </c>
      <c r="D5" s="11" t="s">
        <v>52</v>
      </c>
      <c r="E5" s="11" t="s">
        <v>53</v>
      </c>
      <c r="F5" s="11" t="s">
        <v>54</v>
      </c>
      <c r="G5" s="11" t="s">
        <v>55</v>
      </c>
      <c r="H5" s="1" t="s">
        <v>292</v>
      </c>
    </row>
    <row r="6" spans="2:8" x14ac:dyDescent="0.2">
      <c r="B6" s="1" t="s">
        <v>56</v>
      </c>
      <c r="C6" s="1" t="s">
        <v>51</v>
      </c>
      <c r="D6" s="11" t="s">
        <v>57</v>
      </c>
      <c r="E6" s="11" t="s">
        <v>58</v>
      </c>
      <c r="F6" s="11" t="s">
        <v>59</v>
      </c>
      <c r="G6" s="11" t="s">
        <v>60</v>
      </c>
      <c r="H6" s="1" t="s">
        <v>292</v>
      </c>
    </row>
    <row r="7" spans="2:8" x14ac:dyDescent="0.2">
      <c r="B7" s="1" t="s">
        <v>61</v>
      </c>
      <c r="C7" s="1" t="s">
        <v>51</v>
      </c>
      <c r="D7" s="11" t="s">
        <v>62</v>
      </c>
      <c r="E7" s="11" t="s">
        <v>58</v>
      </c>
      <c r="F7" s="11" t="s">
        <v>63</v>
      </c>
      <c r="G7" s="11" t="s">
        <v>64</v>
      </c>
      <c r="H7" s="1" t="s">
        <v>292</v>
      </c>
    </row>
    <row r="8" spans="2:8" x14ac:dyDescent="0.2">
      <c r="B8" s="1" t="s">
        <v>65</v>
      </c>
      <c r="C8" s="1" t="s">
        <v>51</v>
      </c>
      <c r="D8" s="11" t="s">
        <v>66</v>
      </c>
      <c r="E8" s="11" t="s">
        <v>67</v>
      </c>
      <c r="F8" s="11" t="s">
        <v>68</v>
      </c>
      <c r="G8" s="11" t="s">
        <v>69</v>
      </c>
      <c r="H8" s="1" t="s">
        <v>292</v>
      </c>
    </row>
    <row r="9" spans="2:8" x14ac:dyDescent="0.2">
      <c r="B9" s="1" t="s">
        <v>70</v>
      </c>
      <c r="C9" s="1" t="s">
        <v>51</v>
      </c>
      <c r="D9" s="11" t="s">
        <v>71</v>
      </c>
      <c r="E9" s="11" t="s">
        <v>72</v>
      </c>
      <c r="F9" s="11" t="s">
        <v>63</v>
      </c>
      <c r="G9" s="11" t="s">
        <v>73</v>
      </c>
      <c r="H9" s="1" t="s">
        <v>292</v>
      </c>
    </row>
    <row r="10" spans="2:8" x14ac:dyDescent="0.2">
      <c r="B10" s="1" t="s">
        <v>74</v>
      </c>
      <c r="C10" s="1" t="s">
        <v>51</v>
      </c>
      <c r="D10" s="11" t="s">
        <v>75</v>
      </c>
      <c r="E10" s="11" t="s">
        <v>76</v>
      </c>
      <c r="F10" s="11" t="s">
        <v>77</v>
      </c>
      <c r="G10" s="11" t="s">
        <v>78</v>
      </c>
      <c r="H10" s="1" t="s">
        <v>292</v>
      </c>
    </row>
    <row r="11" spans="2:8" x14ac:dyDescent="0.2">
      <c r="B11" s="1" t="s">
        <v>80</v>
      </c>
      <c r="C11" s="1" t="s">
        <v>51</v>
      </c>
      <c r="D11" s="11" t="s">
        <v>81</v>
      </c>
      <c r="E11" s="11" t="s">
        <v>82</v>
      </c>
      <c r="F11" s="11" t="s">
        <v>83</v>
      </c>
      <c r="G11" s="11" t="s">
        <v>84</v>
      </c>
      <c r="H11" s="1" t="s">
        <v>79</v>
      </c>
    </row>
    <row r="12" spans="2:8" x14ac:dyDescent="0.2">
      <c r="B12" s="1" t="s">
        <v>85</v>
      </c>
      <c r="C12" s="1" t="s">
        <v>51</v>
      </c>
      <c r="D12" s="11" t="s">
        <v>86</v>
      </c>
      <c r="E12" s="11" t="s">
        <v>87</v>
      </c>
      <c r="F12" s="11" t="s">
        <v>63</v>
      </c>
      <c r="G12" s="11" t="s">
        <v>88</v>
      </c>
      <c r="H12" s="1" t="s">
        <v>79</v>
      </c>
    </row>
    <row r="14" spans="2:8" x14ac:dyDescent="0.2">
      <c r="B14" s="8" t="s">
        <v>89</v>
      </c>
    </row>
    <row r="15" spans="2:8" x14ac:dyDescent="0.2">
      <c r="B15" s="1" t="s">
        <v>283</v>
      </c>
      <c r="C15" s="1" t="s">
        <v>90</v>
      </c>
      <c r="D15" s="11" t="s">
        <v>91</v>
      </c>
      <c r="E15" s="11" t="s">
        <v>92</v>
      </c>
      <c r="F15" s="11" t="s">
        <v>93</v>
      </c>
      <c r="G15" s="11" t="s">
        <v>94</v>
      </c>
    </row>
    <row r="16" spans="2:8" x14ac:dyDescent="0.2">
      <c r="B16" s="1" t="s">
        <v>95</v>
      </c>
      <c r="C16" s="1" t="s">
        <v>96</v>
      </c>
      <c r="D16" s="11" t="s">
        <v>97</v>
      </c>
      <c r="E16" s="11" t="s">
        <v>98</v>
      </c>
      <c r="G16" s="11" t="s">
        <v>99</v>
      </c>
      <c r="H16" s="1" t="s">
        <v>292</v>
      </c>
    </row>
    <row r="17" spans="2:8" x14ac:dyDescent="0.2">
      <c r="B17" s="1" t="s">
        <v>100</v>
      </c>
      <c r="C17" s="1" t="s">
        <v>101</v>
      </c>
      <c r="D17" s="11" t="s">
        <v>102</v>
      </c>
      <c r="E17" s="11" t="s">
        <v>103</v>
      </c>
      <c r="H17" s="1" t="s">
        <v>292</v>
      </c>
    </row>
    <row r="18" spans="2:8" x14ac:dyDescent="0.2">
      <c r="B18" s="1" t="s">
        <v>104</v>
      </c>
      <c r="C18" s="1" t="s">
        <v>96</v>
      </c>
      <c r="D18" s="11" t="s">
        <v>105</v>
      </c>
      <c r="E18" s="11" t="s">
        <v>106</v>
      </c>
      <c r="F18" s="11" t="s">
        <v>68</v>
      </c>
      <c r="G18" s="11" t="s">
        <v>107</v>
      </c>
      <c r="H18" s="1" t="s">
        <v>292</v>
      </c>
    </row>
    <row r="19" spans="2:8" x14ac:dyDescent="0.2">
      <c r="B19" s="1" t="s">
        <v>108</v>
      </c>
      <c r="C19" s="1" t="s">
        <v>109</v>
      </c>
      <c r="D19" s="11" t="s">
        <v>110</v>
      </c>
      <c r="E19" s="11" t="s">
        <v>106</v>
      </c>
      <c r="F19" s="11" t="s">
        <v>59</v>
      </c>
      <c r="H19" s="1" t="s">
        <v>292</v>
      </c>
    </row>
    <row r="20" spans="2:8" x14ac:dyDescent="0.2">
      <c r="B20" s="1" t="s">
        <v>284</v>
      </c>
      <c r="C20" s="1" t="s">
        <v>111</v>
      </c>
      <c r="D20" s="11" t="s">
        <v>112</v>
      </c>
      <c r="E20" s="11" t="s">
        <v>113</v>
      </c>
      <c r="F20" s="11" t="s">
        <v>114</v>
      </c>
      <c r="H20" s="1" t="s">
        <v>292</v>
      </c>
    </row>
    <row r="21" spans="2:8" x14ac:dyDescent="0.2">
      <c r="B21" s="1" t="s">
        <v>115</v>
      </c>
      <c r="C21" s="1" t="s">
        <v>116</v>
      </c>
      <c r="D21" s="11" t="s">
        <v>117</v>
      </c>
      <c r="E21" s="11" t="s">
        <v>118</v>
      </c>
      <c r="F21" s="11" t="s">
        <v>68</v>
      </c>
      <c r="H21" s="1" t="s">
        <v>292</v>
      </c>
    </row>
    <row r="22" spans="2:8" x14ac:dyDescent="0.2">
      <c r="B22" s="1" t="s">
        <v>119</v>
      </c>
      <c r="C22" s="1" t="s">
        <v>120</v>
      </c>
      <c r="D22" s="11" t="s">
        <v>121</v>
      </c>
      <c r="E22" s="11" t="s">
        <v>122</v>
      </c>
      <c r="F22" s="11" t="s">
        <v>123</v>
      </c>
      <c r="H22" s="1" t="s">
        <v>292</v>
      </c>
    </row>
    <row r="23" spans="2:8" x14ac:dyDescent="0.2">
      <c r="B23" s="1" t="s">
        <v>124</v>
      </c>
      <c r="C23" s="1" t="s">
        <v>125</v>
      </c>
      <c r="D23" s="11" t="s">
        <v>126</v>
      </c>
      <c r="E23" s="11" t="s">
        <v>127</v>
      </c>
      <c r="F23" s="11" t="s">
        <v>54</v>
      </c>
      <c r="G23" s="11" t="s">
        <v>113</v>
      </c>
      <c r="H23" s="1" t="s">
        <v>292</v>
      </c>
    </row>
    <row r="24" spans="2:8" x14ac:dyDescent="0.2">
      <c r="B24" s="1" t="s">
        <v>128</v>
      </c>
      <c r="C24" s="1" t="s">
        <v>129</v>
      </c>
      <c r="D24" s="11" t="s">
        <v>130</v>
      </c>
      <c r="E24" s="11" t="s">
        <v>131</v>
      </c>
      <c r="F24" s="11" t="s">
        <v>132</v>
      </c>
      <c r="H24" s="1" t="s">
        <v>292</v>
      </c>
    </row>
    <row r="25" spans="2:8" x14ac:dyDescent="0.2">
      <c r="B25" s="1" t="s">
        <v>133</v>
      </c>
      <c r="C25" s="1" t="s">
        <v>134</v>
      </c>
      <c r="D25" s="11" t="s">
        <v>135</v>
      </c>
      <c r="E25" s="11" t="s">
        <v>136</v>
      </c>
      <c r="F25" s="11" t="s">
        <v>59</v>
      </c>
      <c r="G25" s="11" t="s">
        <v>137</v>
      </c>
      <c r="H25" s="1" t="s">
        <v>292</v>
      </c>
    </row>
    <row r="26" spans="2:8" x14ac:dyDescent="0.2">
      <c r="B26" s="1" t="s">
        <v>138</v>
      </c>
      <c r="C26" s="1" t="s">
        <v>139</v>
      </c>
      <c r="D26" s="11" t="s">
        <v>140</v>
      </c>
      <c r="E26" s="11" t="s">
        <v>141</v>
      </c>
      <c r="F26" s="11" t="s">
        <v>142</v>
      </c>
      <c r="G26" s="11" t="s">
        <v>143</v>
      </c>
      <c r="H26" s="1" t="s">
        <v>292</v>
      </c>
    </row>
    <row r="27" spans="2:8" x14ac:dyDescent="0.2">
      <c r="B27" s="1" t="s">
        <v>144</v>
      </c>
      <c r="C27" s="1" t="s">
        <v>145</v>
      </c>
      <c r="D27" s="11" t="s">
        <v>146</v>
      </c>
      <c r="E27" s="11" t="s">
        <v>98</v>
      </c>
      <c r="F27" s="11" t="s">
        <v>114</v>
      </c>
      <c r="G27" s="11" t="s">
        <v>123</v>
      </c>
      <c r="H27" s="1" t="s">
        <v>292</v>
      </c>
    </row>
    <row r="28" spans="2:8" x14ac:dyDescent="0.2">
      <c r="B28" s="1" t="s">
        <v>147</v>
      </c>
      <c r="C28" s="1" t="s">
        <v>148</v>
      </c>
      <c r="D28" s="11" t="s">
        <v>149</v>
      </c>
      <c r="E28" s="11" t="s">
        <v>150</v>
      </c>
      <c r="F28" s="11" t="s">
        <v>59</v>
      </c>
      <c r="H28" s="1" t="s">
        <v>292</v>
      </c>
    </row>
    <row r="29" spans="2:8" x14ac:dyDescent="0.2">
      <c r="B29" s="1" t="s">
        <v>151</v>
      </c>
      <c r="C29" s="1" t="s">
        <v>125</v>
      </c>
      <c r="D29" s="11" t="s">
        <v>152</v>
      </c>
      <c r="E29" s="11" t="s">
        <v>153</v>
      </c>
      <c r="H29" s="1" t="s">
        <v>292</v>
      </c>
    </row>
    <row r="30" spans="2:8" x14ac:dyDescent="0.2">
      <c r="B30" s="1" t="s">
        <v>154</v>
      </c>
      <c r="C30" s="1" t="s">
        <v>96</v>
      </c>
      <c r="D30" s="11" t="s">
        <v>155</v>
      </c>
      <c r="E30" s="11" t="s">
        <v>156</v>
      </c>
      <c r="F30" s="11" t="s">
        <v>63</v>
      </c>
      <c r="G30" s="11" t="s">
        <v>157</v>
      </c>
      <c r="H30" s="1" t="s">
        <v>292</v>
      </c>
    </row>
    <row r="31" spans="2:8" x14ac:dyDescent="0.2">
      <c r="B31" s="1" t="s">
        <v>158</v>
      </c>
      <c r="C31" s="1" t="s">
        <v>159</v>
      </c>
      <c r="D31" s="11" t="s">
        <v>160</v>
      </c>
      <c r="E31" s="11" t="s">
        <v>161</v>
      </c>
      <c r="F31" s="11" t="s">
        <v>162</v>
      </c>
      <c r="G31" s="11" t="s">
        <v>163</v>
      </c>
      <c r="H31" s="1" t="s">
        <v>79</v>
      </c>
    </row>
    <row r="32" spans="2:8" x14ac:dyDescent="0.2">
      <c r="B32" s="1" t="s">
        <v>285</v>
      </c>
      <c r="C32" s="1" t="s">
        <v>164</v>
      </c>
      <c r="D32" s="11" t="s">
        <v>165</v>
      </c>
      <c r="E32" s="11" t="s">
        <v>150</v>
      </c>
      <c r="F32" s="11" t="s">
        <v>143</v>
      </c>
      <c r="G32" s="11" t="s">
        <v>166</v>
      </c>
      <c r="H32" s="1" t="s">
        <v>79</v>
      </c>
    </row>
    <row r="33" spans="2:8" x14ac:dyDescent="0.2">
      <c r="B33" s="1" t="s">
        <v>167</v>
      </c>
      <c r="C33" s="1" t="s">
        <v>159</v>
      </c>
      <c r="D33" s="11" t="s">
        <v>168</v>
      </c>
      <c r="E33" s="11" t="s">
        <v>169</v>
      </c>
      <c r="F33" s="11" t="s">
        <v>170</v>
      </c>
      <c r="G33" s="11" t="s">
        <v>171</v>
      </c>
      <c r="H33" s="1" t="s">
        <v>79</v>
      </c>
    </row>
    <row r="34" spans="2:8" x14ac:dyDescent="0.2">
      <c r="B34" s="1" t="s">
        <v>172</v>
      </c>
      <c r="C34" s="1" t="s">
        <v>173</v>
      </c>
      <c r="D34" s="11" t="s">
        <v>174</v>
      </c>
      <c r="E34" s="11" t="s">
        <v>141</v>
      </c>
      <c r="F34" s="11" t="s">
        <v>114</v>
      </c>
      <c r="G34" s="11" t="s">
        <v>137</v>
      </c>
      <c r="H34" s="1" t="s">
        <v>79</v>
      </c>
    </row>
    <row r="35" spans="2:8" x14ac:dyDescent="0.2">
      <c r="B35" s="1" t="s">
        <v>175</v>
      </c>
      <c r="C35" s="1" t="s">
        <v>176</v>
      </c>
      <c r="D35" s="11" t="s">
        <v>177</v>
      </c>
      <c r="E35" s="11" t="s">
        <v>178</v>
      </c>
      <c r="F35" s="11" t="s">
        <v>54</v>
      </c>
      <c r="G35" s="11" t="s">
        <v>179</v>
      </c>
      <c r="H35" s="1" t="s">
        <v>79</v>
      </c>
    </row>
    <row r="36" spans="2:8" x14ac:dyDescent="0.2">
      <c r="B36" s="1" t="s">
        <v>180</v>
      </c>
      <c r="C36" s="1" t="s">
        <v>181</v>
      </c>
      <c r="D36" s="11" t="s">
        <v>182</v>
      </c>
      <c r="E36" s="11" t="s">
        <v>183</v>
      </c>
      <c r="F36" s="11" t="s">
        <v>142</v>
      </c>
      <c r="G36" s="11" t="s">
        <v>184</v>
      </c>
      <c r="H36" s="1" t="s">
        <v>79</v>
      </c>
    </row>
    <row r="37" spans="2:8" x14ac:dyDescent="0.2">
      <c r="B37" s="1" t="s">
        <v>185</v>
      </c>
      <c r="C37" s="1" t="s">
        <v>186</v>
      </c>
      <c r="D37" s="11" t="s">
        <v>187</v>
      </c>
      <c r="E37" s="11" t="s">
        <v>141</v>
      </c>
      <c r="F37" s="11" t="s">
        <v>63</v>
      </c>
      <c r="G37" s="11" t="s">
        <v>188</v>
      </c>
      <c r="H37" s="1" t="s">
        <v>79</v>
      </c>
    </row>
    <row r="38" spans="2:8" x14ac:dyDescent="0.2">
      <c r="B38" s="1" t="s">
        <v>189</v>
      </c>
      <c r="C38" s="1" t="s">
        <v>190</v>
      </c>
      <c r="D38" s="11" t="s">
        <v>191</v>
      </c>
      <c r="E38" s="11" t="s">
        <v>192</v>
      </c>
      <c r="F38" s="11" t="s">
        <v>54</v>
      </c>
      <c r="G38" s="11" t="s">
        <v>193</v>
      </c>
      <c r="H38" s="1" t="s">
        <v>79</v>
      </c>
    </row>
    <row r="39" spans="2:8" x14ac:dyDescent="0.2">
      <c r="B39" s="1" t="s">
        <v>194</v>
      </c>
      <c r="C39" s="1" t="s">
        <v>195</v>
      </c>
      <c r="D39" s="11" t="s">
        <v>196</v>
      </c>
      <c r="E39" s="11" t="s">
        <v>178</v>
      </c>
      <c r="F39" s="11" t="s">
        <v>142</v>
      </c>
      <c r="G39" s="11" t="s">
        <v>197</v>
      </c>
      <c r="H39" s="1" t="s">
        <v>79</v>
      </c>
    </row>
    <row r="40" spans="2:8" x14ac:dyDescent="0.2">
      <c r="B40" s="1" t="s">
        <v>198</v>
      </c>
      <c r="C40" s="1" t="s">
        <v>199</v>
      </c>
      <c r="D40" s="11" t="s">
        <v>200</v>
      </c>
      <c r="E40" s="11" t="s">
        <v>201</v>
      </c>
      <c r="F40" s="11" t="s">
        <v>63</v>
      </c>
      <c r="G40" s="11" t="s">
        <v>202</v>
      </c>
      <c r="H40" s="1" t="s">
        <v>79</v>
      </c>
    </row>
    <row r="41" spans="2:8" x14ac:dyDescent="0.2">
      <c r="B41" s="1" t="s">
        <v>203</v>
      </c>
      <c r="C41" s="1" t="s">
        <v>204</v>
      </c>
      <c r="D41" s="11" t="s">
        <v>205</v>
      </c>
      <c r="E41" s="11" t="s">
        <v>206</v>
      </c>
      <c r="F41" s="11" t="s">
        <v>59</v>
      </c>
      <c r="H41" s="1" t="s">
        <v>79</v>
      </c>
    </row>
    <row r="42" spans="2:8" x14ac:dyDescent="0.2">
      <c r="B42" s="1" t="s">
        <v>207</v>
      </c>
      <c r="C42" s="1" t="s">
        <v>186</v>
      </c>
      <c r="D42" s="11" t="s">
        <v>208</v>
      </c>
      <c r="E42" s="11" t="s">
        <v>179</v>
      </c>
      <c r="F42" s="11" t="s">
        <v>54</v>
      </c>
      <c r="G42" s="11" t="s">
        <v>183</v>
      </c>
      <c r="H42" s="1" t="s">
        <v>79</v>
      </c>
    </row>
    <row r="43" spans="2:8" x14ac:dyDescent="0.2">
      <c r="B43" s="1" t="s">
        <v>209</v>
      </c>
      <c r="C43" s="1" t="s">
        <v>210</v>
      </c>
      <c r="D43" s="11" t="s">
        <v>211</v>
      </c>
      <c r="E43" s="11" t="s">
        <v>212</v>
      </c>
      <c r="F43" s="11" t="s">
        <v>63</v>
      </c>
      <c r="G43" s="11" t="s">
        <v>213</v>
      </c>
      <c r="H43" s="1" t="s">
        <v>79</v>
      </c>
    </row>
    <row r="44" spans="2:8" x14ac:dyDescent="0.2">
      <c r="B44" s="1" t="s">
        <v>214</v>
      </c>
      <c r="C44" s="1" t="s">
        <v>173</v>
      </c>
      <c r="D44" s="11" t="s">
        <v>215</v>
      </c>
      <c r="E44" s="11" t="s">
        <v>216</v>
      </c>
      <c r="F44" s="11" t="s">
        <v>63</v>
      </c>
      <c r="G44" s="11" t="s">
        <v>123</v>
      </c>
      <c r="H44" s="1" t="s">
        <v>79</v>
      </c>
    </row>
    <row r="45" spans="2:8" x14ac:dyDescent="0.2">
      <c r="B45" s="1" t="s">
        <v>217</v>
      </c>
      <c r="C45" s="1" t="s">
        <v>218</v>
      </c>
      <c r="D45" s="11" t="s">
        <v>219</v>
      </c>
      <c r="E45" s="11" t="s">
        <v>206</v>
      </c>
      <c r="F45" s="11" t="s">
        <v>220</v>
      </c>
      <c r="H45" s="1" t="s">
        <v>79</v>
      </c>
    </row>
    <row r="46" spans="2:8" x14ac:dyDescent="0.2">
      <c r="B46" s="1" t="s">
        <v>221</v>
      </c>
      <c r="C46" s="1" t="s">
        <v>222</v>
      </c>
      <c r="D46" s="11" t="s">
        <v>223</v>
      </c>
      <c r="E46" s="11" t="s">
        <v>224</v>
      </c>
      <c r="F46" s="11" t="s">
        <v>54</v>
      </c>
      <c r="G46" s="11" t="s">
        <v>225</v>
      </c>
      <c r="H46" s="1" t="s">
        <v>79</v>
      </c>
    </row>
    <row r="47" spans="2:8" x14ac:dyDescent="0.2">
      <c r="B47" s="1" t="s">
        <v>226</v>
      </c>
      <c r="C47" s="1" t="s">
        <v>227</v>
      </c>
      <c r="D47" s="11" t="s">
        <v>228</v>
      </c>
      <c r="E47" s="11" t="s">
        <v>224</v>
      </c>
      <c r="F47" s="11" t="s">
        <v>220</v>
      </c>
      <c r="G47" s="11" t="s">
        <v>188</v>
      </c>
      <c r="H47" s="1" t="s">
        <v>79</v>
      </c>
    </row>
    <row r="48" spans="2:8" x14ac:dyDescent="0.2">
      <c r="B48" s="1" t="s">
        <v>229</v>
      </c>
      <c r="C48" s="1" t="s">
        <v>230</v>
      </c>
      <c r="D48" s="11" t="s">
        <v>231</v>
      </c>
      <c r="E48" s="11" t="s">
        <v>232</v>
      </c>
      <c r="F48" s="11" t="s">
        <v>142</v>
      </c>
      <c r="G48" s="11" t="s">
        <v>188</v>
      </c>
      <c r="H48" s="1" t="s">
        <v>79</v>
      </c>
    </row>
    <row r="50" spans="2:8" x14ac:dyDescent="0.2">
      <c r="B50" s="1" t="s">
        <v>233</v>
      </c>
      <c r="C50" s="1" t="s">
        <v>234</v>
      </c>
      <c r="D50" s="11" t="s">
        <v>235</v>
      </c>
      <c r="E50" s="11" t="s">
        <v>107</v>
      </c>
      <c r="F50" s="11" t="s">
        <v>142</v>
      </c>
      <c r="G50" s="11" t="s">
        <v>55</v>
      </c>
    </row>
    <row r="51" spans="2:8" x14ac:dyDescent="0.2">
      <c r="B51" s="1" t="s">
        <v>236</v>
      </c>
      <c r="C51" s="1" t="s">
        <v>237</v>
      </c>
      <c r="D51" s="11" t="s">
        <v>238</v>
      </c>
      <c r="E51" s="11" t="s">
        <v>239</v>
      </c>
    </row>
    <row r="52" spans="2:8" x14ac:dyDescent="0.2">
      <c r="B52" s="1" t="s">
        <v>240</v>
      </c>
      <c r="C52" s="1" t="s">
        <v>159</v>
      </c>
      <c r="D52" s="11" t="s">
        <v>241</v>
      </c>
      <c r="E52" s="11" t="s">
        <v>206</v>
      </c>
      <c r="F52" s="11" t="s">
        <v>93</v>
      </c>
      <c r="G52" s="11" t="s">
        <v>242</v>
      </c>
    </row>
    <row r="53" spans="2:8" x14ac:dyDescent="0.2">
      <c r="B53" s="1" t="s">
        <v>243</v>
      </c>
      <c r="C53" s="1" t="s">
        <v>190</v>
      </c>
      <c r="D53" s="11" t="s">
        <v>244</v>
      </c>
      <c r="E53" s="11" t="s">
        <v>245</v>
      </c>
      <c r="F53" s="11" t="s">
        <v>142</v>
      </c>
      <c r="G53" s="11" t="s">
        <v>131</v>
      </c>
    </row>
    <row r="54" spans="2:8" x14ac:dyDescent="0.2">
      <c r="B54" s="1" t="s">
        <v>246</v>
      </c>
    </row>
    <row r="55" spans="2:8" x14ac:dyDescent="0.2">
      <c r="B55" s="1" t="s">
        <v>247</v>
      </c>
    </row>
    <row r="56" spans="2:8" x14ac:dyDescent="0.2">
      <c r="B56" s="1" t="s">
        <v>248</v>
      </c>
      <c r="C56" s="1" t="s">
        <v>249</v>
      </c>
      <c r="D56" s="11" t="s">
        <v>250</v>
      </c>
      <c r="E56" s="11" t="s">
        <v>251</v>
      </c>
      <c r="F56" s="11" t="s">
        <v>142</v>
      </c>
      <c r="G56" s="11" t="s">
        <v>252</v>
      </c>
      <c r="H56" s="1" t="s">
        <v>247</v>
      </c>
    </row>
    <row r="57" spans="2:8" x14ac:dyDescent="0.2">
      <c r="B57" s="1" t="s">
        <v>253</v>
      </c>
      <c r="C57" s="1" t="s">
        <v>254</v>
      </c>
      <c r="D57" s="11" t="s">
        <v>255</v>
      </c>
      <c r="E57" s="11" t="s">
        <v>256</v>
      </c>
      <c r="F57" s="11" t="s">
        <v>83</v>
      </c>
      <c r="G57" s="11" t="s">
        <v>257</v>
      </c>
      <c r="H57" s="1" t="s">
        <v>247</v>
      </c>
    </row>
    <row r="58" spans="2:8" x14ac:dyDescent="0.2">
      <c r="B58" s="1" t="s">
        <v>258</v>
      </c>
      <c r="C58" s="1" t="s">
        <v>259</v>
      </c>
      <c r="D58" s="11" t="s">
        <v>260</v>
      </c>
      <c r="E58" s="11" t="s">
        <v>261</v>
      </c>
      <c r="F58" s="11" t="s">
        <v>77</v>
      </c>
      <c r="G58" s="11" t="s">
        <v>153</v>
      </c>
      <c r="H58" s="1" t="s">
        <v>247</v>
      </c>
    </row>
    <row r="59" spans="2:8" x14ac:dyDescent="0.2">
      <c r="B59" s="1" t="s">
        <v>262</v>
      </c>
      <c r="C59" s="1" t="s">
        <v>263</v>
      </c>
      <c r="D59" s="11" t="s">
        <v>264</v>
      </c>
      <c r="E59" s="11" t="s">
        <v>265</v>
      </c>
      <c r="F59" s="11" t="s">
        <v>59</v>
      </c>
      <c r="G59" s="11" t="s">
        <v>266</v>
      </c>
      <c r="H59" s="1" t="s">
        <v>247</v>
      </c>
    </row>
    <row r="60" spans="2:8" x14ac:dyDescent="0.2">
      <c r="B60" s="1" t="s">
        <v>267</v>
      </c>
      <c r="C60" s="1" t="s">
        <v>268</v>
      </c>
      <c r="D60" s="11" t="s">
        <v>269</v>
      </c>
      <c r="E60" s="11" t="s">
        <v>270</v>
      </c>
      <c r="F60" s="11" t="s">
        <v>93</v>
      </c>
      <c r="G60" s="11" t="s">
        <v>58</v>
      </c>
      <c r="H60" s="1" t="s">
        <v>247</v>
      </c>
    </row>
    <row r="61" spans="2:8" x14ac:dyDescent="0.2">
      <c r="B61" s="1" t="s">
        <v>286</v>
      </c>
      <c r="C61" s="1" t="s">
        <v>272</v>
      </c>
      <c r="G61" s="11" t="s">
        <v>273</v>
      </c>
      <c r="H61" s="1" t="s">
        <v>271</v>
      </c>
    </row>
    <row r="62" spans="2:8" x14ac:dyDescent="0.2">
      <c r="B62" s="1" t="s">
        <v>274</v>
      </c>
      <c r="C62" s="1" t="s">
        <v>275</v>
      </c>
      <c r="D62" s="11" t="s">
        <v>276</v>
      </c>
      <c r="E62" s="11" t="s">
        <v>277</v>
      </c>
      <c r="F62" s="11" t="s">
        <v>132</v>
      </c>
      <c r="G62" s="11" t="s">
        <v>278</v>
      </c>
      <c r="H62" s="1" t="s">
        <v>271</v>
      </c>
    </row>
    <row r="63" spans="2:8" x14ac:dyDescent="0.2">
      <c r="B63" s="1" t="s">
        <v>279</v>
      </c>
      <c r="C63" s="1" t="s">
        <v>280</v>
      </c>
      <c r="D63" s="11" t="s">
        <v>281</v>
      </c>
      <c r="E63" s="11" t="s">
        <v>282</v>
      </c>
      <c r="F63" s="11" t="s">
        <v>142</v>
      </c>
      <c r="H63" s="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Zauner</dc:creator>
  <cp:lastModifiedBy>Drew Zauner</cp:lastModifiedBy>
  <dcterms:created xsi:type="dcterms:W3CDTF">2026-02-08T00:42:10Z</dcterms:created>
  <dcterms:modified xsi:type="dcterms:W3CDTF">2026-02-08T04:01:57Z</dcterms:modified>
</cp:coreProperties>
</file>