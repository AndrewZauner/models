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Models\"/>
    </mc:Choice>
  </mc:AlternateContent>
  <xr:revisionPtr revIDLastSave="0" documentId="13_ncr:1_{09F3B113-7FFA-4F83-AA07-BEF032AF036E}" xr6:coauthVersionLast="47" xr6:coauthVersionMax="47" xr10:uidLastSave="{00000000-0000-0000-0000-000000000000}"/>
  <bookViews>
    <workbookView xWindow="-120" yWindow="-120" windowWidth="29040" windowHeight="15720" xr2:uid="{E26B75FC-9989-4D2B-A8FA-900EA2F6829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U6" i="2" l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AT6" i="2"/>
  <c r="AS6" i="2"/>
  <c r="AH27" i="2"/>
  <c r="AH28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P9" i="2"/>
  <c r="AP12" i="2" s="1"/>
  <c r="AS7" i="2"/>
  <c r="AS8" i="2" s="1"/>
  <c r="AR7" i="2"/>
  <c r="AR8" i="2" s="1"/>
  <c r="AQ7" i="2"/>
  <c r="AQ8" i="2" s="1"/>
  <c r="AP7" i="2"/>
  <c r="AP8" i="2" s="1"/>
  <c r="AO14" i="2"/>
  <c r="AO9" i="2"/>
  <c r="AO12" i="2" s="1"/>
  <c r="AO7" i="2"/>
  <c r="AO8" i="2" s="1"/>
  <c r="AO13" i="2" s="1"/>
  <c r="AO15" i="2" s="1"/>
  <c r="AO17" i="2" s="1"/>
  <c r="Z9" i="2"/>
  <c r="AA9" i="2" s="1"/>
  <c r="AA12" i="2" s="1"/>
  <c r="AO3" i="2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AN16" i="2"/>
  <c r="AN11" i="2"/>
  <c r="AN10" i="2"/>
  <c r="AM16" i="2"/>
  <c r="AM11" i="2"/>
  <c r="AM10" i="2"/>
  <c r="AM9" i="2"/>
  <c r="AA5" i="2"/>
  <c r="AA6" i="2" s="1"/>
  <c r="AA21" i="2" s="1"/>
  <c r="AD14" i="2"/>
  <c r="AC14" i="2"/>
  <c r="AB14" i="2"/>
  <c r="AA14" i="2"/>
  <c r="AN14" i="2" s="1"/>
  <c r="Y31" i="2"/>
  <c r="Y28" i="2"/>
  <c r="Y24" i="2"/>
  <c r="Z6" i="2"/>
  <c r="Z7" i="2" s="1"/>
  <c r="Y6" i="2"/>
  <c r="X6" i="2"/>
  <c r="AM6" i="2" s="1"/>
  <c r="AM21" i="2" s="1"/>
  <c r="Z21" i="2"/>
  <c r="Z14" i="2"/>
  <c r="Z12" i="2"/>
  <c r="AL11" i="2"/>
  <c r="AL10" i="2"/>
  <c r="AL9" i="2"/>
  <c r="AL7" i="2"/>
  <c r="AL6" i="2"/>
  <c r="AK11" i="2"/>
  <c r="AK10" i="2"/>
  <c r="AK9" i="2"/>
  <c r="AK7" i="2"/>
  <c r="AK6" i="2"/>
  <c r="AJ16" i="2"/>
  <c r="AJ11" i="2"/>
  <c r="AJ10" i="2"/>
  <c r="AJ9" i="2"/>
  <c r="AJ12" i="2" s="1"/>
  <c r="AJ7" i="2"/>
  <c r="AJ6" i="2"/>
  <c r="AJ8" i="2" s="1"/>
  <c r="AI16" i="2"/>
  <c r="AI11" i="2"/>
  <c r="AI10" i="2"/>
  <c r="AI9" i="2"/>
  <c r="AI7" i="2"/>
  <c r="AI6" i="2"/>
  <c r="X14" i="2"/>
  <c r="X12" i="2"/>
  <c r="Y14" i="2"/>
  <c r="Y21" i="2"/>
  <c r="Y12" i="2"/>
  <c r="Y8" i="2"/>
  <c r="Y22" i="2" s="1"/>
  <c r="J5" i="1"/>
  <c r="L12" i="2"/>
  <c r="L8" i="2"/>
  <c r="L22" i="2" s="1"/>
  <c r="M21" i="2"/>
  <c r="N21" i="2"/>
  <c r="O21" i="2"/>
  <c r="P21" i="2"/>
  <c r="Q21" i="2"/>
  <c r="R21" i="2"/>
  <c r="S21" i="2"/>
  <c r="T21" i="2"/>
  <c r="U21" i="2"/>
  <c r="V21" i="2"/>
  <c r="L21" i="2"/>
  <c r="M12" i="2"/>
  <c r="M8" i="2"/>
  <c r="M22" i="2" s="1"/>
  <c r="N12" i="2"/>
  <c r="N8" i="2"/>
  <c r="N22" i="2" s="1"/>
  <c r="O12" i="2"/>
  <c r="O8" i="2"/>
  <c r="O22" i="2" s="1"/>
  <c r="P12" i="2"/>
  <c r="P8" i="2"/>
  <c r="P22" i="2" s="1"/>
  <c r="T12" i="2"/>
  <c r="T8" i="2"/>
  <c r="T22" i="2" s="1"/>
  <c r="Q12" i="2"/>
  <c r="Q8" i="2"/>
  <c r="Q22" i="2" s="1"/>
  <c r="U14" i="2"/>
  <c r="AL14" i="2" s="1"/>
  <c r="U12" i="2"/>
  <c r="U8" i="2"/>
  <c r="U13" i="2" s="1"/>
  <c r="U15" i="2" s="1"/>
  <c r="U17" i="2" s="1"/>
  <c r="U18" i="2" s="1"/>
  <c r="W21" i="2"/>
  <c r="W14" i="2"/>
  <c r="AM14" i="2" s="1"/>
  <c r="S12" i="2"/>
  <c r="W12" i="2"/>
  <c r="S8" i="2"/>
  <c r="S22" i="2" s="1"/>
  <c r="W8" i="2"/>
  <c r="W22" i="2" s="1"/>
  <c r="R16" i="2"/>
  <c r="AK16" i="2" s="1"/>
  <c r="R14" i="2"/>
  <c r="AK14" i="2" s="1"/>
  <c r="R12" i="2"/>
  <c r="R8" i="2"/>
  <c r="R22" i="2" s="1"/>
  <c r="V16" i="2"/>
  <c r="AL16" i="2" s="1"/>
  <c r="V14" i="2"/>
  <c r="AT7" i="2" l="1"/>
  <c r="AT8" i="2" s="1"/>
  <c r="AP13" i="2"/>
  <c r="AP15" i="2" s="1"/>
  <c r="AP17" i="2" s="1"/>
  <c r="AQ9" i="2"/>
  <c r="AM7" i="2"/>
  <c r="Z8" i="2"/>
  <c r="Z22" i="2" s="1"/>
  <c r="X21" i="2"/>
  <c r="AK8" i="2"/>
  <c r="X8" i="2"/>
  <c r="X22" i="2" s="1"/>
  <c r="AB5" i="2"/>
  <c r="AB6" i="2" s="1"/>
  <c r="AB21" i="2" s="1"/>
  <c r="Y32" i="2"/>
  <c r="AL21" i="2"/>
  <c r="AJ21" i="2"/>
  <c r="P13" i="2"/>
  <c r="P15" i="2" s="1"/>
  <c r="P17" i="2" s="1"/>
  <c r="P18" i="2" s="1"/>
  <c r="AK21" i="2"/>
  <c r="AM8" i="2"/>
  <c r="AA7" i="2"/>
  <c r="AA8" i="2" s="1"/>
  <c r="AM12" i="2"/>
  <c r="AB9" i="2"/>
  <c r="AM13" i="2"/>
  <c r="AM15" i="2" s="1"/>
  <c r="AM17" i="2" s="1"/>
  <c r="AK12" i="2"/>
  <c r="AK13" i="2" s="1"/>
  <c r="AK15" i="2" s="1"/>
  <c r="AK17" i="2" s="1"/>
  <c r="W13" i="2"/>
  <c r="W15" i="2" s="1"/>
  <c r="W17" i="2" s="1"/>
  <c r="W18" i="2" s="1"/>
  <c r="S13" i="2"/>
  <c r="S15" i="2" s="1"/>
  <c r="S17" i="2" s="1"/>
  <c r="S18" i="2" s="1"/>
  <c r="L13" i="2"/>
  <c r="L15" i="2" s="1"/>
  <c r="L17" i="2" s="1"/>
  <c r="L18" i="2" s="1"/>
  <c r="U22" i="2"/>
  <c r="Z13" i="2"/>
  <c r="Z15" i="2" s="1"/>
  <c r="Z17" i="2" s="1"/>
  <c r="Z18" i="2" s="1"/>
  <c r="AL12" i="2"/>
  <c r="AL8" i="2"/>
  <c r="AJ13" i="2"/>
  <c r="AI12" i="2"/>
  <c r="AI8" i="2"/>
  <c r="X13" i="2"/>
  <c r="X15" i="2" s="1"/>
  <c r="X17" i="2" s="1"/>
  <c r="X18" i="2" s="1"/>
  <c r="Y13" i="2"/>
  <c r="Y15" i="2" s="1"/>
  <c r="M13" i="2"/>
  <c r="M15" i="2" s="1"/>
  <c r="M17" i="2" s="1"/>
  <c r="M18" i="2" s="1"/>
  <c r="N13" i="2"/>
  <c r="N15" i="2" s="1"/>
  <c r="N17" i="2" s="1"/>
  <c r="N18" i="2" s="1"/>
  <c r="O13" i="2"/>
  <c r="O15" i="2" s="1"/>
  <c r="O17" i="2" s="1"/>
  <c r="O18" i="2" s="1"/>
  <c r="T13" i="2"/>
  <c r="T15" i="2" s="1"/>
  <c r="T17" i="2" s="1"/>
  <c r="T18" i="2" s="1"/>
  <c r="Q13" i="2"/>
  <c r="Q15" i="2" s="1"/>
  <c r="Q17" i="2" s="1"/>
  <c r="Q18" i="2" s="1"/>
  <c r="R13" i="2"/>
  <c r="R15" i="2" s="1"/>
  <c r="R17" i="2" s="1"/>
  <c r="R18" i="2" s="1"/>
  <c r="AU7" i="2" l="1"/>
  <c r="AU8" i="2" s="1"/>
  <c r="AQ12" i="2"/>
  <c r="AQ13" i="2" s="1"/>
  <c r="AQ15" i="2" s="1"/>
  <c r="AQ17" i="2" s="1"/>
  <c r="AR9" i="2"/>
  <c r="AC5" i="2"/>
  <c r="AB7" i="2"/>
  <c r="AB8" i="2" s="1"/>
  <c r="AB22" i="2" s="1"/>
  <c r="AI13" i="2"/>
  <c r="AC9" i="2"/>
  <c r="AB12" i="2"/>
  <c r="AD5" i="2"/>
  <c r="AD6" i="2" s="1"/>
  <c r="AD7" i="2" s="1"/>
  <c r="AC6" i="2"/>
  <c r="AC7" i="2" s="1"/>
  <c r="AN7" i="2" s="1"/>
  <c r="AA22" i="2"/>
  <c r="AA13" i="2"/>
  <c r="AA15" i="2" s="1"/>
  <c r="AA17" i="2" s="1"/>
  <c r="AA18" i="2" s="1"/>
  <c r="AL13" i="2"/>
  <c r="AL15" i="2" s="1"/>
  <c r="AL17" i="2" s="1"/>
  <c r="Y17" i="2"/>
  <c r="V12" i="2"/>
  <c r="V8" i="2"/>
  <c r="V22" i="2" s="1"/>
  <c r="R2" i="2"/>
  <c r="V2" i="2" s="1"/>
  <c r="Q2" i="2"/>
  <c r="U2" i="2" s="1"/>
  <c r="P2" i="2"/>
  <c r="T2" i="2" s="1"/>
  <c r="O2" i="2"/>
  <c r="S2" i="2" s="1"/>
  <c r="D12" i="2"/>
  <c r="D8" i="2"/>
  <c r="D22" i="2" s="1"/>
  <c r="H21" i="2"/>
  <c r="H12" i="2"/>
  <c r="H8" i="2"/>
  <c r="H22" i="2" s="1"/>
  <c r="E14" i="2"/>
  <c r="E12" i="2"/>
  <c r="E8" i="2"/>
  <c r="I21" i="2"/>
  <c r="I14" i="2"/>
  <c r="I12" i="2"/>
  <c r="I8" i="2"/>
  <c r="F14" i="2"/>
  <c r="F12" i="2"/>
  <c r="F8" i="2"/>
  <c r="F22" i="2" s="1"/>
  <c r="J21" i="2"/>
  <c r="J12" i="2"/>
  <c r="J8" i="2"/>
  <c r="K44" i="2"/>
  <c r="K45" i="2" s="1"/>
  <c r="K26" i="2"/>
  <c r="K30" i="2"/>
  <c r="K24" i="2"/>
  <c r="K21" i="2"/>
  <c r="G14" i="2"/>
  <c r="K14" i="2"/>
  <c r="AJ14" i="2" s="1"/>
  <c r="AJ15" i="2" s="1"/>
  <c r="AJ17" i="2" s="1"/>
  <c r="G12" i="2"/>
  <c r="K12" i="2"/>
  <c r="K8" i="2"/>
  <c r="G8" i="2"/>
  <c r="G22" i="2" s="1"/>
  <c r="J4" i="1"/>
  <c r="J7" i="1" s="1"/>
  <c r="AV7" i="2" l="1"/>
  <c r="AV8" i="2" s="1"/>
  <c r="AS9" i="2"/>
  <c r="AR12" i="2"/>
  <c r="AR13" i="2" s="1"/>
  <c r="AR15" i="2" s="1"/>
  <c r="AR17" i="2" s="1"/>
  <c r="Y18" i="2"/>
  <c r="Y34" i="2"/>
  <c r="K32" i="2"/>
  <c r="AB13" i="2"/>
  <c r="AB15" i="2" s="1"/>
  <c r="AB17" i="2" s="1"/>
  <c r="AB18" i="2" s="1"/>
  <c r="AI14" i="2"/>
  <c r="AI15" i="2" s="1"/>
  <c r="AI17" i="2" s="1"/>
  <c r="AN6" i="2"/>
  <c r="K13" i="2"/>
  <c r="K15" i="2" s="1"/>
  <c r="K17" i="2" s="1"/>
  <c r="K18" i="2" s="1"/>
  <c r="I13" i="2"/>
  <c r="I15" i="2" s="1"/>
  <c r="I17" i="2" s="1"/>
  <c r="I18" i="2" s="1"/>
  <c r="AD9" i="2"/>
  <c r="AC12" i="2"/>
  <c r="AC21" i="2"/>
  <c r="AC8" i="2"/>
  <c r="AD21" i="2"/>
  <c r="AD8" i="2"/>
  <c r="G13" i="2"/>
  <c r="G15" i="2" s="1"/>
  <c r="G17" i="2" s="1"/>
  <c r="G18" i="2" s="1"/>
  <c r="K22" i="2"/>
  <c r="F13" i="2"/>
  <c r="F15" i="2" s="1"/>
  <c r="F17" i="2" s="1"/>
  <c r="F18" i="2" s="1"/>
  <c r="I22" i="2"/>
  <c r="E13" i="2"/>
  <c r="E15" i="2" s="1"/>
  <c r="E17" i="2" s="1"/>
  <c r="E18" i="2" s="1"/>
  <c r="V13" i="2"/>
  <c r="V15" i="2" s="1"/>
  <c r="V17" i="2" s="1"/>
  <c r="V18" i="2" s="1"/>
  <c r="J13" i="2"/>
  <c r="J15" i="2" s="1"/>
  <c r="J17" i="2" s="1"/>
  <c r="J18" i="2" s="1"/>
  <c r="E22" i="2"/>
  <c r="J22" i="2"/>
  <c r="D13" i="2"/>
  <c r="D15" i="2" s="1"/>
  <c r="D17" i="2" s="1"/>
  <c r="D18" i="2" s="1"/>
  <c r="H13" i="2"/>
  <c r="H15" i="2" s="1"/>
  <c r="H17" i="2" s="1"/>
  <c r="H18" i="2" s="1"/>
  <c r="AW7" i="2" l="1"/>
  <c r="AW8" i="2" s="1"/>
  <c r="AS12" i="2"/>
  <c r="AS13" i="2" s="1"/>
  <c r="AS15" i="2" s="1"/>
  <c r="AS17" i="2" s="1"/>
  <c r="AT9" i="2"/>
  <c r="AO6" i="2"/>
  <c r="AN21" i="2"/>
  <c r="K34" i="2"/>
  <c r="AN8" i="2"/>
  <c r="AD12" i="2"/>
  <c r="AN9" i="2"/>
  <c r="AN12" i="2" s="1"/>
  <c r="AN13" i="2" s="1"/>
  <c r="AN15" i="2" s="1"/>
  <c r="AN17" i="2" s="1"/>
  <c r="AD13" i="2"/>
  <c r="AD15" i="2" s="1"/>
  <c r="AD17" i="2" s="1"/>
  <c r="AD18" i="2" s="1"/>
  <c r="AD22" i="2"/>
  <c r="AC22" i="2"/>
  <c r="AC13" i="2"/>
  <c r="AC15" i="2" s="1"/>
  <c r="AC17" i="2" s="1"/>
  <c r="AC18" i="2" s="1"/>
  <c r="AX7" i="2" l="1"/>
  <c r="AX8" i="2" s="1"/>
  <c r="AT12" i="2"/>
  <c r="AT13" i="2" s="1"/>
  <c r="AT15" i="2" s="1"/>
  <c r="AT17" i="2" s="1"/>
  <c r="AU9" i="2"/>
  <c r="AP6" i="2"/>
  <c r="AO21" i="2"/>
  <c r="AY7" i="2" l="1"/>
  <c r="AY8" i="2" s="1"/>
  <c r="AU12" i="2"/>
  <c r="AU13" i="2" s="1"/>
  <c r="AU15" i="2" s="1"/>
  <c r="AU17" i="2" s="1"/>
  <c r="AV9" i="2"/>
  <c r="AQ6" i="2"/>
  <c r="AP21" i="2"/>
  <c r="AZ7" i="2" l="1"/>
  <c r="AZ8" i="2" s="1"/>
  <c r="AV12" i="2"/>
  <c r="AV13" i="2" s="1"/>
  <c r="AV15" i="2" s="1"/>
  <c r="AV17" i="2" s="1"/>
  <c r="AW9" i="2"/>
  <c r="AR6" i="2"/>
  <c r="AQ21" i="2"/>
  <c r="BA7" i="2" l="1"/>
  <c r="BA8" i="2" s="1"/>
  <c r="AW12" i="2"/>
  <c r="AW13" i="2" s="1"/>
  <c r="AW15" i="2" s="1"/>
  <c r="AW17" i="2" s="1"/>
  <c r="AX9" i="2"/>
  <c r="AR21" i="2"/>
  <c r="BB7" i="2" l="1"/>
  <c r="BB8" i="2" s="1"/>
  <c r="AX12" i="2"/>
  <c r="AX13" i="2" s="1"/>
  <c r="AX15" i="2" s="1"/>
  <c r="AX17" i="2" s="1"/>
  <c r="AY9" i="2"/>
  <c r="AS21" i="2"/>
  <c r="BC7" i="2" l="1"/>
  <c r="BC8" i="2" s="1"/>
  <c r="AZ9" i="2"/>
  <c r="AY12" i="2"/>
  <c r="AY13" i="2" s="1"/>
  <c r="AY15" i="2" s="1"/>
  <c r="AY17" i="2" s="1"/>
  <c r="AT21" i="2"/>
  <c r="BD7" i="2" l="1"/>
  <c r="BD8" i="2" s="1"/>
  <c r="BA9" i="2"/>
  <c r="AZ12" i="2"/>
  <c r="AZ13" i="2" s="1"/>
  <c r="AZ15" i="2" s="1"/>
  <c r="AZ17" i="2" s="1"/>
  <c r="AU21" i="2"/>
  <c r="BE7" i="2" l="1"/>
  <c r="BE8" i="2" s="1"/>
  <c r="BB9" i="2"/>
  <c r="BA12" i="2"/>
  <c r="BA13" i="2" s="1"/>
  <c r="BA15" i="2" s="1"/>
  <c r="BA17" i="2" s="1"/>
  <c r="AV21" i="2"/>
  <c r="BF7" i="2" l="1"/>
  <c r="BF8" i="2" s="1"/>
  <c r="BC9" i="2"/>
  <c r="BB12" i="2"/>
  <c r="BB13" i="2" s="1"/>
  <c r="BB15" i="2" s="1"/>
  <c r="BB17" i="2" s="1"/>
  <c r="AW21" i="2"/>
  <c r="BG7" i="2" l="1"/>
  <c r="BG8" i="2" s="1"/>
  <c r="BC12" i="2"/>
  <c r="BC13" i="2" s="1"/>
  <c r="BC15" i="2" s="1"/>
  <c r="BC17" i="2" s="1"/>
  <c r="BD9" i="2"/>
  <c r="AX21" i="2"/>
  <c r="BH7" i="2" l="1"/>
  <c r="BH8" i="2" s="1"/>
  <c r="BE9" i="2"/>
  <c r="BD12" i="2"/>
  <c r="BD13" i="2" s="1"/>
  <c r="BD15" i="2" s="1"/>
  <c r="BD17" i="2" s="1"/>
  <c r="AY21" i="2"/>
  <c r="BI7" i="2" l="1"/>
  <c r="BI8" i="2" s="1"/>
  <c r="BF9" i="2"/>
  <c r="BE12" i="2"/>
  <c r="BE13" i="2" s="1"/>
  <c r="BE15" i="2" s="1"/>
  <c r="BE17" i="2" s="1"/>
  <c r="AZ21" i="2"/>
  <c r="BJ7" i="2" l="1"/>
  <c r="BJ8" i="2"/>
  <c r="BG9" i="2"/>
  <c r="BF12" i="2"/>
  <c r="BF13" i="2" s="1"/>
  <c r="BF15" i="2" s="1"/>
  <c r="BF17" i="2" s="1"/>
  <c r="BA21" i="2"/>
  <c r="BG12" i="2" l="1"/>
  <c r="BG13" i="2" s="1"/>
  <c r="BG15" i="2" s="1"/>
  <c r="BG17" i="2" s="1"/>
  <c r="BH9" i="2"/>
  <c r="BB21" i="2"/>
  <c r="BI9" i="2" l="1"/>
  <c r="BH12" i="2"/>
  <c r="BH13" i="2" s="1"/>
  <c r="BH15" i="2" s="1"/>
  <c r="BH17" i="2" s="1"/>
  <c r="BC21" i="2"/>
  <c r="BI12" i="2" l="1"/>
  <c r="BI13" i="2" s="1"/>
  <c r="BI15" i="2" s="1"/>
  <c r="BI17" i="2" s="1"/>
  <c r="BJ9" i="2"/>
  <c r="BJ12" i="2" s="1"/>
  <c r="BJ13" i="2" s="1"/>
  <c r="BJ15" i="2" s="1"/>
  <c r="BD21" i="2"/>
  <c r="BJ17" i="2" l="1"/>
  <c r="BK17" i="2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AH25" i="2" s="1"/>
  <c r="AH26" i="2" s="1"/>
  <c r="BE21" i="2"/>
  <c r="BF21" i="2" l="1"/>
  <c r="BG21" i="2" l="1"/>
  <c r="BH21" i="2" l="1"/>
  <c r="BJ21" i="2" l="1"/>
  <c r="BI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tc={B68E7419-367E-49EF-ACEC-D669218F80D6}</author>
    <author>tc={B41AC37D-1944-41B2-AC1A-1B199A60459B}</author>
  </authors>
  <commentList>
    <comment ref="Z4" authorId="0" shapeId="0" xr:uid="{B68E7419-367E-49EF-ACEC-D669218F80D6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- 1.195-1.2</t>
      </text>
    </comment>
    <comment ref="Z8" authorId="1" shapeId="0" xr:uid="{B41AC37D-1944-41B2-AC1A-1B199A60459B}">
      <text>
        <t>[Threaded comment]
Your version of Excel allows you to read this threaded comment; however, any edits to it will get removed if the file is opened in a newer version of Excel. Learn more: https://go.microsoft.com/fwlink/?linkid=870924
Comment:
    GM Guidance 75%</t>
      </text>
    </comment>
  </commentList>
</comments>
</file>

<file path=xl/sharedStrings.xml><?xml version="1.0" encoding="utf-8"?>
<sst xmlns="http://schemas.openxmlformats.org/spreadsheetml/2006/main" count="133" uniqueCount="124">
  <si>
    <t>Price</t>
  </si>
  <si>
    <t>Shares</t>
  </si>
  <si>
    <t>MC</t>
  </si>
  <si>
    <t>Cash</t>
  </si>
  <si>
    <t>Debt</t>
  </si>
  <si>
    <t>EV</t>
  </si>
  <si>
    <t>Main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</si>
  <si>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</si>
  <si>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</si>
  <si>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</si>
  <si>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</si>
  <si>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</si>
  <si>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</si>
  <si>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</si>
  <si>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</si>
  <si>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</si>
  <si>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FQ123</t>
  </si>
  <si>
    <t>FQ223</t>
  </si>
  <si>
    <t>FQ323</t>
  </si>
  <si>
    <t>FQ423</t>
  </si>
  <si>
    <t>COGS</t>
  </si>
  <si>
    <t>Gross Profit</t>
  </si>
  <si>
    <t>S&amp;M</t>
  </si>
  <si>
    <t>R&amp;D</t>
  </si>
  <si>
    <t>G&amp;A</t>
  </si>
  <si>
    <t>OpEx</t>
  </si>
  <si>
    <t>OpInc</t>
  </si>
  <si>
    <t>EPS</t>
  </si>
  <si>
    <t>Net Income</t>
  </si>
  <si>
    <t>Taxes</t>
  </si>
  <si>
    <t>Pretax Income</t>
  </si>
  <si>
    <t>Interest</t>
  </si>
  <si>
    <t>Revenue Growth</t>
  </si>
  <si>
    <t>Gross Margin</t>
  </si>
  <si>
    <t>OA</t>
  </si>
  <si>
    <t>Goodwill</t>
  </si>
  <si>
    <t>Lease</t>
  </si>
  <si>
    <t>PP&amp;E</t>
  </si>
  <si>
    <t>Commissions</t>
  </si>
  <si>
    <t>Prepaids</t>
  </si>
  <si>
    <t>AR</t>
  </si>
  <si>
    <t>Assets</t>
  </si>
  <si>
    <t>Model NI</t>
  </si>
  <si>
    <t>Reported NI</t>
  </si>
  <si>
    <t>CFFO</t>
  </si>
  <si>
    <t>WC</t>
  </si>
  <si>
    <t>D&amp;A</t>
  </si>
  <si>
    <t>Non-Cash Lease</t>
  </si>
  <si>
    <t>SBC</t>
  </si>
  <si>
    <t>Investments</t>
  </si>
  <si>
    <t>DT</t>
  </si>
  <si>
    <t>Other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</si>
  <si>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</si>
  <si>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</si>
  <si>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</si>
  <si>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</si>
  <si>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</si>
  <si>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</si>
  <si>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</si>
  <si>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</si>
  <si>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FQ126</t>
  </si>
  <si>
    <t>FQ226</t>
  </si>
  <si>
    <t>FQ326</t>
  </si>
  <si>
    <t>FQ426</t>
  </si>
  <si>
    <t>Q326</t>
  </si>
  <si>
    <t>11/31/25</t>
  </si>
  <si>
    <t>FQ127</t>
  </si>
  <si>
    <t>FQ227</t>
  </si>
  <si>
    <t>FQ427</t>
  </si>
  <si>
    <t>FQ327</t>
  </si>
  <si>
    <t>Shridar Ramaswamy</t>
  </si>
  <si>
    <t>CEO and Director</t>
  </si>
  <si>
    <t>Benoit Daveville</t>
  </si>
  <si>
    <t>Co-Founder, Chief Architect</t>
  </si>
  <si>
    <t>Brian Robins</t>
  </si>
  <si>
    <t>CFO</t>
  </si>
  <si>
    <t>S. Muralidhar</t>
  </si>
  <si>
    <t>CTO</t>
  </si>
  <si>
    <t>Mike Blandina</t>
  </si>
  <si>
    <t>CIO</t>
  </si>
  <si>
    <t>Founded</t>
  </si>
  <si>
    <t>HQ</t>
  </si>
  <si>
    <t>Bozeman, MT</t>
  </si>
  <si>
    <t>Employees</t>
  </si>
  <si>
    <t>Sector</t>
  </si>
  <si>
    <t>Industry</t>
  </si>
  <si>
    <t>Technology</t>
  </si>
  <si>
    <t>Snowflake intelligence</t>
  </si>
  <si>
    <t>Natural langage into insight</t>
  </si>
  <si>
    <t>Software - Application</t>
  </si>
  <si>
    <t>Key People</t>
  </si>
  <si>
    <t>Product</t>
  </si>
  <si>
    <t>Customers</t>
  </si>
  <si>
    <t>100M in AI Revenue run rate</t>
  </si>
  <si>
    <t>Notes</t>
  </si>
  <si>
    <t>FQ326 1200 customers</t>
  </si>
  <si>
    <t>World tour - annual event</t>
  </si>
  <si>
    <t>Data build summit</t>
  </si>
  <si>
    <t>CortexAI</t>
  </si>
  <si>
    <t>Openflow</t>
  </si>
  <si>
    <t>Acquisitions</t>
  </si>
  <si>
    <t>Crunchy Data (2025)</t>
  </si>
  <si>
    <t>Truera (2025)</t>
  </si>
  <si>
    <t>Datametry (2025)</t>
  </si>
  <si>
    <t>Night Shift Development (2024)</t>
  </si>
  <si>
    <t>Streamlit (2022)</t>
  </si>
  <si>
    <t>SnowcConvert (2023)</t>
  </si>
  <si>
    <t>Fanatics, Morgan Stanley, Workday, Palantir, SAP, Astrazenica, Accenture</t>
  </si>
  <si>
    <t>Neeva (2023)</t>
  </si>
  <si>
    <t>Myst (2023)</t>
  </si>
  <si>
    <t>Snowpark</t>
  </si>
  <si>
    <t>776 Global customers, average spends 2M</t>
  </si>
  <si>
    <t xml:space="preserve">FQ326 </t>
  </si>
  <si>
    <t>Stock buyback</t>
  </si>
  <si>
    <t>Highest logins ever</t>
  </si>
  <si>
    <t>Product Revenue</t>
  </si>
  <si>
    <t>Prof. Services and Other</t>
  </si>
  <si>
    <r>
      <t xml:space="preserve">Partnership with Anthropic - 200M buying from Anthropic - </t>
    </r>
    <r>
      <rPr>
        <b/>
        <sz val="10"/>
        <color theme="1"/>
        <rFont val="Arial"/>
        <family val="2"/>
      </rPr>
      <t>Interesting tone on this announcement</t>
    </r>
  </si>
  <si>
    <t>15-20% of on prem migrations complete</t>
  </si>
  <si>
    <t>FY</t>
  </si>
  <si>
    <t>NPV</t>
  </si>
  <si>
    <t>Discount</t>
  </si>
  <si>
    <t>Current</t>
  </si>
  <si>
    <t>Appointed 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</si>
</sst>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9" fontId="1" fillId="0" borderId="0" xfId="0" applyNumberFormat="1" applyFont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1" fillId="0" borderId="1" xfId="0" applyNumberFormat="1" applyFont="1" applyBorder="1"/>
    <xf numFmtId="3" fontId="0" fillId="0" borderId="1" xfId="0" applyNumberFormat="1" applyBorder="1"/>
    <xf numFmtId="4" fontId="0" fillId="0" borderId="1" xfId="0" applyNumberFormat="1" applyBorder="1"/>
    <xf numFmtId="9" fontId="1" fillId="0" borderId="1" xfId="0" applyNumberFormat="1" applyFont="1" applyBorder="1"/>
    <xf numFmtId="9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3" fontId="0" fillId="0" borderId="2" xfId="0" applyNumberFormat="1" applyBorder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F5664A5-7DBE-41F3-93A0-FBC8507AE8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rew Zauner" id="{6820DC50-44F2-4C4A-8978-05FF8AE65B10}" userId="28658eeddec04c0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4" dT="2026-01-02T01:11:20.23" personId="{6820DC50-44F2-4C4A-8978-05FF8AE65B10}" id="{B68E7419-367E-49EF-ACEC-D669218F80D6}">
    <text>Guidance - 1.195-1.2</text>
  </threadedComment>
  <threadedComment ref="Z8" dT="2026-01-02T01:03:23.50" personId="{6820DC50-44F2-4C4A-8978-05FF8AE65B10}" id="{B41AC37D-1944-41B2-AC1A-1B199A60459B}">
    <text>GM Guidance 75%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5F87-C53B-4BF8-B238-ED8253036919}">
  <dimension ref="B2:K43"/>
  <sheetViews>
    <sheetView tabSelected="1" zoomScale="145" zoomScaleNormal="145" workbookViewId="0">
      <selection activeCell="H11" sqref="H11"/>
    </sheetView>
  </sheetViews>
  <sheetFormatPr defaultRowHeight="12.75" x14ac:dyDescent="0.2"/>
  <cols>
    <col min="1" max="1" width="2.42578125" customWidth="1"/>
    <col min="2" max="2" width="10.7109375" bestFit="1" customWidth="1"/>
    <col min="3" max="3" width="24.85546875" bestFit="1" customWidth="1"/>
    <col min="4" max="4" width="24.42578125" bestFit="1" customWidth="1"/>
    <col min="5" max="5" width="18.42578125" bestFit="1" customWidth="1"/>
    <col min="6" max="6" width="24.42578125" bestFit="1" customWidth="1"/>
    <col min="9" max="9" width="10" customWidth="1"/>
    <col min="10" max="10" width="12.140625" customWidth="1"/>
    <col min="11" max="11" width="8.7109375" customWidth="1"/>
  </cols>
  <sheetData>
    <row r="2" spans="2:11" x14ac:dyDescent="0.2">
      <c r="B2" t="s">
        <v>80</v>
      </c>
      <c r="C2" s="22">
        <v>2012</v>
      </c>
      <c r="I2" t="s">
        <v>0</v>
      </c>
      <c r="J2" s="1">
        <v>219</v>
      </c>
      <c r="K2" s="3" t="s">
        <v>64</v>
      </c>
    </row>
    <row r="3" spans="2:11" x14ac:dyDescent="0.2">
      <c r="B3" t="s">
        <v>81</v>
      </c>
      <c r="C3" s="22" t="s">
        <v>82</v>
      </c>
      <c r="I3" t="s">
        <v>1</v>
      </c>
      <c r="J3" s="2">
        <v>342.2</v>
      </c>
      <c r="K3" s="3" t="s">
        <v>64</v>
      </c>
    </row>
    <row r="4" spans="2:11" x14ac:dyDescent="0.2">
      <c r="B4" t="s">
        <v>83</v>
      </c>
      <c r="C4" s="23">
        <v>9023</v>
      </c>
      <c r="I4" t="s">
        <v>2</v>
      </c>
      <c r="J4" s="2">
        <f>+J2*J3</f>
        <v>74941.8</v>
      </c>
    </row>
    <row r="5" spans="2:11" x14ac:dyDescent="0.2">
      <c r="B5" t="s">
        <v>84</v>
      </c>
      <c r="C5" t="s">
        <v>86</v>
      </c>
      <c r="I5" t="s">
        <v>3</v>
      </c>
      <c r="J5" s="2">
        <f>1941.657+1411.448</f>
        <v>3353.105</v>
      </c>
      <c r="K5" s="3" t="s">
        <v>64</v>
      </c>
    </row>
    <row r="6" spans="2:11" x14ac:dyDescent="0.2">
      <c r="B6" t="s">
        <v>85</v>
      </c>
      <c r="C6" t="s">
        <v>89</v>
      </c>
      <c r="I6" t="s">
        <v>4</v>
      </c>
      <c r="J6" s="2">
        <v>2277.7489999999998</v>
      </c>
      <c r="K6" s="3" t="s">
        <v>64</v>
      </c>
    </row>
    <row r="7" spans="2:11" x14ac:dyDescent="0.2">
      <c r="B7" t="s">
        <v>90</v>
      </c>
      <c r="I7" t="s">
        <v>5</v>
      </c>
      <c r="J7" s="2">
        <f>+J4-J5+J6</f>
        <v>73866.444000000003</v>
      </c>
    </row>
    <row r="8" spans="2:11" x14ac:dyDescent="0.2">
      <c r="C8" t="s">
        <v>70</v>
      </c>
      <c r="D8" t="s">
        <v>71</v>
      </c>
      <c r="E8" t="s">
        <v>123</v>
      </c>
    </row>
    <row r="9" spans="2:11" x14ac:dyDescent="0.2">
      <c r="C9" t="s">
        <v>72</v>
      </c>
      <c r="D9" t="s">
        <v>73</v>
      </c>
    </row>
    <row r="10" spans="2:11" x14ac:dyDescent="0.2">
      <c r="C10" t="s">
        <v>74</v>
      </c>
      <c r="D10" t="s">
        <v>75</v>
      </c>
    </row>
    <row r="11" spans="2:11" x14ac:dyDescent="0.2">
      <c r="C11" t="s">
        <v>76</v>
      </c>
      <c r="D11" t="s">
        <v>77</v>
      </c>
    </row>
    <row r="12" spans="2:11" x14ac:dyDescent="0.2">
      <c r="C12" t="s">
        <v>78</v>
      </c>
      <c r="D12" t="s">
        <v>79</v>
      </c>
    </row>
    <row r="14" spans="2:11" x14ac:dyDescent="0.2">
      <c r="B14" t="s">
        <v>92</v>
      </c>
      <c r="C14" t="s">
        <v>107</v>
      </c>
    </row>
    <row r="16" spans="2:11" x14ac:dyDescent="0.2">
      <c r="B16" t="s">
        <v>91</v>
      </c>
    </row>
    <row r="17" spans="2:4" x14ac:dyDescent="0.2">
      <c r="C17" t="s">
        <v>87</v>
      </c>
    </row>
    <row r="18" spans="2:4" x14ac:dyDescent="0.2">
      <c r="D18" t="s">
        <v>88</v>
      </c>
    </row>
    <row r="19" spans="2:4" x14ac:dyDescent="0.2">
      <c r="D19" t="s">
        <v>98</v>
      </c>
    </row>
    <row r="20" spans="2:4" x14ac:dyDescent="0.2">
      <c r="D20" t="s">
        <v>95</v>
      </c>
    </row>
    <row r="21" spans="2:4" x14ac:dyDescent="0.2">
      <c r="C21" t="s">
        <v>99</v>
      </c>
    </row>
    <row r="22" spans="2:4" x14ac:dyDescent="0.2">
      <c r="C22" t="s">
        <v>110</v>
      </c>
    </row>
    <row r="24" spans="2:4" x14ac:dyDescent="0.2">
      <c r="B24" t="s">
        <v>94</v>
      </c>
    </row>
    <row r="25" spans="2:4" x14ac:dyDescent="0.2">
      <c r="C25" t="s">
        <v>112</v>
      </c>
    </row>
    <row r="26" spans="2:4" x14ac:dyDescent="0.2">
      <c r="D26" t="s">
        <v>93</v>
      </c>
    </row>
    <row r="27" spans="2:4" x14ac:dyDescent="0.2">
      <c r="D27" t="s">
        <v>117</v>
      </c>
    </row>
    <row r="28" spans="2:4" x14ac:dyDescent="0.2">
      <c r="D28" t="s">
        <v>113</v>
      </c>
    </row>
    <row r="29" spans="2:4" x14ac:dyDescent="0.2">
      <c r="D29" t="s">
        <v>114</v>
      </c>
    </row>
    <row r="30" spans="2:4" x14ac:dyDescent="0.2">
      <c r="D30" t="s">
        <v>111</v>
      </c>
    </row>
    <row r="31" spans="2:4" x14ac:dyDescent="0.2">
      <c r="D31" t="s">
        <v>118</v>
      </c>
    </row>
    <row r="32" spans="2:4" x14ac:dyDescent="0.2">
      <c r="C32" t="s">
        <v>96</v>
      </c>
    </row>
    <row r="33" spans="2:3" x14ac:dyDescent="0.2">
      <c r="C33" t="s">
        <v>97</v>
      </c>
    </row>
    <row r="35" spans="2:3" x14ac:dyDescent="0.2">
      <c r="B35" t="s">
        <v>100</v>
      </c>
    </row>
    <row r="36" spans="2:3" x14ac:dyDescent="0.2">
      <c r="C36" t="s">
        <v>101</v>
      </c>
    </row>
    <row r="37" spans="2:3" x14ac:dyDescent="0.2">
      <c r="C37" t="s">
        <v>102</v>
      </c>
    </row>
    <row r="38" spans="2:3" x14ac:dyDescent="0.2">
      <c r="C38" t="s">
        <v>103</v>
      </c>
    </row>
    <row r="39" spans="2:3" x14ac:dyDescent="0.2">
      <c r="C39" t="s">
        <v>104</v>
      </c>
    </row>
    <row r="40" spans="2:3" x14ac:dyDescent="0.2">
      <c r="C40" t="s">
        <v>108</v>
      </c>
    </row>
    <row r="41" spans="2:3" x14ac:dyDescent="0.2">
      <c r="C41" t="s">
        <v>109</v>
      </c>
    </row>
    <row r="42" spans="2:3" x14ac:dyDescent="0.2">
      <c r="C42" t="s">
        <v>106</v>
      </c>
    </row>
    <row r="43" spans="2:3" x14ac:dyDescent="0.2">
      <c r="C4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461E-5EFB-45DD-9161-EF94163D814D}">
  <dimension ref="A1:DP45"/>
  <sheetViews>
    <sheetView zoomScale="160" zoomScaleNormal="160" workbookViewId="0">
      <pane xSplit="2" ySplit="3" topLeftCell="AF10" activePane="bottomRight" state="frozen"/>
      <selection pane="topRight" activeCell="C1" sqref="C1"/>
      <selection pane="bottomLeft" activeCell="A3" sqref="A3"/>
      <selection pane="bottomRight" activeCell="AI3" sqref="AI3"/>
    </sheetView>
  </sheetViews>
  <sheetFormatPr defaultRowHeight="12.75" x14ac:dyDescent="0.2"/>
  <cols>
    <col min="1" max="1" width="5" bestFit="1" customWidth="1"/>
    <col min="2" max="2" width="21.7109375" bestFit="1" customWidth="1"/>
    <col min="3" max="3" width="9.140625" style="3"/>
    <col min="4" max="11" width="8.5703125" style="3" customWidth="1"/>
    <col min="12" max="14" width="9.140625" style="3" customWidth="1"/>
    <col min="15" max="15" width="9.140625" customWidth="1"/>
    <col min="25" max="25" width="9.140625" style="14"/>
  </cols>
  <sheetData>
    <row r="1" spans="1:62" x14ac:dyDescent="0.2">
      <c r="A1" s="4" t="s">
        <v>6</v>
      </c>
    </row>
    <row r="2" spans="1:62" s="11" customFormat="1" x14ac:dyDescent="0.2">
      <c r="C2" s="12"/>
      <c r="D2" s="12">
        <v>44043</v>
      </c>
      <c r="E2" s="12">
        <v>44135</v>
      </c>
      <c r="F2" s="12">
        <v>44227</v>
      </c>
      <c r="G2" s="12">
        <v>44316</v>
      </c>
      <c r="H2" s="12">
        <v>44408</v>
      </c>
      <c r="I2" s="12">
        <v>44500</v>
      </c>
      <c r="J2" s="12">
        <v>44592</v>
      </c>
      <c r="K2" s="12">
        <v>44681</v>
      </c>
      <c r="L2" s="12">
        <v>44773</v>
      </c>
      <c r="M2" s="12">
        <v>44865</v>
      </c>
      <c r="N2" s="12">
        <v>44957</v>
      </c>
      <c r="O2" s="11">
        <f t="shared" ref="O2:U2" si="0">+K2+365</f>
        <v>45046</v>
      </c>
      <c r="P2" s="11">
        <f t="shared" si="0"/>
        <v>45138</v>
      </c>
      <c r="Q2" s="11">
        <f t="shared" si="0"/>
        <v>45230</v>
      </c>
      <c r="R2" s="11">
        <f t="shared" si="0"/>
        <v>45322</v>
      </c>
      <c r="S2" s="11">
        <f t="shared" si="0"/>
        <v>45411</v>
      </c>
      <c r="T2" s="11">
        <f t="shared" si="0"/>
        <v>45503</v>
      </c>
      <c r="U2" s="11">
        <f t="shared" si="0"/>
        <v>45595</v>
      </c>
      <c r="V2" s="11">
        <f>+R2+366</f>
        <v>45688</v>
      </c>
      <c r="W2" s="11">
        <v>45777</v>
      </c>
      <c r="X2" s="11">
        <v>45869</v>
      </c>
      <c r="Y2" s="15" t="s">
        <v>65</v>
      </c>
    </row>
    <row r="3" spans="1:62" x14ac:dyDescent="0.2"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58</v>
      </c>
      <c r="V3" s="3" t="s">
        <v>59</v>
      </c>
      <c r="W3" s="3" t="s">
        <v>60</v>
      </c>
      <c r="X3" s="3" t="s">
        <v>61</v>
      </c>
      <c r="Y3" s="16" t="s">
        <v>62</v>
      </c>
      <c r="Z3" s="3" t="s">
        <v>63</v>
      </c>
      <c r="AA3" s="3" t="s">
        <v>66</v>
      </c>
      <c r="AB3" s="3" t="s">
        <v>67</v>
      </c>
      <c r="AC3" s="3" t="s">
        <v>69</v>
      </c>
      <c r="AD3" s="3" t="s">
        <v>68</v>
      </c>
      <c r="AH3" t="s">
        <v>119</v>
      </c>
      <c r="AI3">
        <v>2022</v>
      </c>
      <c r="AJ3">
        <v>2023</v>
      </c>
      <c r="AK3">
        <v>2024</v>
      </c>
      <c r="AL3">
        <v>2025</v>
      </c>
      <c r="AM3">
        <v>2026</v>
      </c>
      <c r="AN3">
        <v>2027</v>
      </c>
      <c r="AO3">
        <f>+AN3+1</f>
        <v>2028</v>
      </c>
      <c r="AP3">
        <f t="shared" ref="AP3:BJ3" si="1">+AO3+1</f>
        <v>2029</v>
      </c>
      <c r="AQ3">
        <f t="shared" si="1"/>
        <v>2030</v>
      </c>
      <c r="AR3">
        <f t="shared" si="1"/>
        <v>2031</v>
      </c>
      <c r="AS3">
        <f t="shared" si="1"/>
        <v>2032</v>
      </c>
      <c r="AT3">
        <f t="shared" si="1"/>
        <v>2033</v>
      </c>
      <c r="AU3">
        <f t="shared" si="1"/>
        <v>2034</v>
      </c>
      <c r="AV3">
        <f t="shared" si="1"/>
        <v>2035</v>
      </c>
      <c r="AW3">
        <f t="shared" si="1"/>
        <v>2036</v>
      </c>
      <c r="AX3">
        <f t="shared" si="1"/>
        <v>2037</v>
      </c>
      <c r="AY3">
        <f t="shared" si="1"/>
        <v>2038</v>
      </c>
      <c r="AZ3">
        <f t="shared" si="1"/>
        <v>2039</v>
      </c>
      <c r="BA3">
        <f t="shared" si="1"/>
        <v>2040</v>
      </c>
      <c r="BB3">
        <f t="shared" si="1"/>
        <v>2041</v>
      </c>
      <c r="BC3">
        <f t="shared" si="1"/>
        <v>2042</v>
      </c>
      <c r="BD3">
        <f t="shared" si="1"/>
        <v>2043</v>
      </c>
      <c r="BE3">
        <f t="shared" si="1"/>
        <v>2044</v>
      </c>
      <c r="BF3">
        <f t="shared" si="1"/>
        <v>2045</v>
      </c>
      <c r="BG3">
        <f t="shared" si="1"/>
        <v>2046</v>
      </c>
      <c r="BH3">
        <f t="shared" si="1"/>
        <v>2047</v>
      </c>
      <c r="BI3">
        <f t="shared" si="1"/>
        <v>2048</v>
      </c>
      <c r="BJ3">
        <f t="shared" si="1"/>
        <v>2049</v>
      </c>
    </row>
    <row r="4" spans="1:62" x14ac:dyDescent="0.2">
      <c r="B4" t="s">
        <v>115</v>
      </c>
      <c r="O4" s="3"/>
      <c r="P4" s="3"/>
      <c r="Q4" s="3"/>
      <c r="R4" s="3"/>
      <c r="S4" s="3"/>
      <c r="T4" s="3"/>
      <c r="U4" s="3"/>
      <c r="V4" s="3"/>
      <c r="W4" s="3"/>
      <c r="X4" s="5">
        <v>1090.4760000000001</v>
      </c>
      <c r="Y4" s="2">
        <v>1158.377</v>
      </c>
      <c r="Z4" s="25">
        <v>1200</v>
      </c>
      <c r="AA4" s="2">
        <v>1275</v>
      </c>
      <c r="AB4" s="2">
        <v>1375</v>
      </c>
      <c r="AC4" s="2">
        <v>1500</v>
      </c>
      <c r="AD4" s="2">
        <v>1600</v>
      </c>
    </row>
    <row r="5" spans="1:62" x14ac:dyDescent="0.2">
      <c r="B5" t="s">
        <v>116</v>
      </c>
      <c r="O5" s="3"/>
      <c r="P5" s="3"/>
      <c r="Q5" s="3"/>
      <c r="R5" s="3"/>
      <c r="S5" s="3"/>
      <c r="T5" s="3"/>
      <c r="U5" s="3"/>
      <c r="V5" s="3"/>
      <c r="W5" s="3"/>
      <c r="X5" s="5">
        <v>54.472999999999999</v>
      </c>
      <c r="Y5" s="18">
        <v>54.531999999999996</v>
      </c>
      <c r="Z5" s="24">
        <v>54</v>
      </c>
      <c r="AA5" s="24">
        <f>+Z5*1.03</f>
        <v>55.620000000000005</v>
      </c>
      <c r="AB5" s="24">
        <f t="shared" ref="AB5:AD5" si="2">+AA5*1.03</f>
        <v>57.28860000000001</v>
      </c>
      <c r="AC5" s="24">
        <f t="shared" si="2"/>
        <v>59.007258000000014</v>
      </c>
      <c r="AD5" s="24">
        <f t="shared" si="2"/>
        <v>60.777475740000014</v>
      </c>
    </row>
    <row r="6" spans="1:62" s="8" customFormat="1" x14ac:dyDescent="0.2">
      <c r="B6" s="8" t="s">
        <v>7</v>
      </c>
      <c r="C6" s="9"/>
      <c r="D6" s="9">
        <v>133.14500000000001</v>
      </c>
      <c r="E6" s="9">
        <v>159.624</v>
      </c>
      <c r="F6" s="9">
        <v>190.465</v>
      </c>
      <c r="G6" s="9">
        <v>228.91399999999999</v>
      </c>
      <c r="H6" s="9">
        <v>272.19799999999998</v>
      </c>
      <c r="I6" s="9">
        <v>334.44099999999997</v>
      </c>
      <c r="J6" s="9">
        <v>383.774</v>
      </c>
      <c r="K6" s="9">
        <v>422.37099999999998</v>
      </c>
      <c r="L6" s="8">
        <v>497.24799999999999</v>
      </c>
      <c r="M6" s="8">
        <v>557.02800000000002</v>
      </c>
      <c r="N6" s="8">
        <v>589.01199999999994</v>
      </c>
      <c r="O6" s="8">
        <v>623.59900000000005</v>
      </c>
      <c r="P6" s="8">
        <v>674.01800000000003</v>
      </c>
      <c r="Q6" s="8">
        <v>734.173</v>
      </c>
      <c r="R6" s="8">
        <v>774.69899999999996</v>
      </c>
      <c r="S6" s="8">
        <v>828.70899999999995</v>
      </c>
      <c r="T6" s="8">
        <v>868.82299999999998</v>
      </c>
      <c r="U6" s="8">
        <v>942.09400000000005</v>
      </c>
      <c r="V6" s="8">
        <v>986.77</v>
      </c>
      <c r="W6" s="8">
        <v>1042.0740000000001</v>
      </c>
      <c r="X6" s="8">
        <f t="shared" ref="X6:AD6" si="3">+X4+X5</f>
        <v>1144.9490000000001</v>
      </c>
      <c r="Y6" s="17">
        <f t="shared" si="3"/>
        <v>1212.9089999999999</v>
      </c>
      <c r="Z6" s="8">
        <f t="shared" si="3"/>
        <v>1254</v>
      </c>
      <c r="AA6" s="8">
        <f t="shared" si="3"/>
        <v>1330.62</v>
      </c>
      <c r="AB6" s="8">
        <f t="shared" si="3"/>
        <v>1432.2886000000001</v>
      </c>
      <c r="AC6" s="8">
        <f t="shared" si="3"/>
        <v>1559.0072580000001</v>
      </c>
      <c r="AD6" s="8">
        <f t="shared" si="3"/>
        <v>1660.77747574</v>
      </c>
      <c r="AI6" s="8">
        <f>+SUM(G6:J6)</f>
        <v>1219.3269999999998</v>
      </c>
      <c r="AJ6" s="8">
        <f>+SUM(K6:N6)</f>
        <v>2065.6589999999997</v>
      </c>
      <c r="AK6" s="8">
        <f>+SUM(O6:R6)</f>
        <v>2806.489</v>
      </c>
      <c r="AL6" s="8">
        <f>+SUM(S6:V6)</f>
        <v>3626.3960000000002</v>
      </c>
      <c r="AM6" s="8">
        <f>+SUM(W6:Z6)</f>
        <v>4653.9319999999998</v>
      </c>
      <c r="AN6" s="8">
        <f>+SUM(AA6:AD6)</f>
        <v>5982.6933337400005</v>
      </c>
      <c r="AO6" s="8">
        <f>+AN6*1.25</f>
        <v>7478.3666671750007</v>
      </c>
      <c r="AP6" s="8">
        <f t="shared" ref="AP6:AR6" si="4">+AO6*1.25</f>
        <v>9347.9583339687506</v>
      </c>
      <c r="AQ6" s="8">
        <f t="shared" si="4"/>
        <v>11684.947917460939</v>
      </c>
      <c r="AR6" s="8">
        <f t="shared" si="4"/>
        <v>14606.184896826173</v>
      </c>
      <c r="AS6" s="8">
        <f>+AR6*1.09</f>
        <v>15920.741537540529</v>
      </c>
      <c r="AT6" s="8">
        <f t="shared" ref="AT6:BJ6" si="5">+AS6*1.09</f>
        <v>17353.608275919178</v>
      </c>
      <c r="AU6" s="8">
        <f t="shared" si="5"/>
        <v>18915.433020751905</v>
      </c>
      <c r="AV6" s="8">
        <f t="shared" si="5"/>
        <v>20617.821992619578</v>
      </c>
      <c r="AW6" s="8">
        <f t="shared" si="5"/>
        <v>22473.425971955341</v>
      </c>
      <c r="AX6" s="8">
        <f t="shared" si="5"/>
        <v>24496.034309431325</v>
      </c>
      <c r="AY6" s="8">
        <f t="shared" si="5"/>
        <v>26700.677397280146</v>
      </c>
      <c r="AZ6" s="8">
        <f t="shared" si="5"/>
        <v>29103.738363035362</v>
      </c>
      <c r="BA6" s="8">
        <f t="shared" si="5"/>
        <v>31723.074815708547</v>
      </c>
      <c r="BB6" s="8">
        <f t="shared" si="5"/>
        <v>34578.151549122318</v>
      </c>
      <c r="BC6" s="8">
        <f t="shared" si="5"/>
        <v>37690.185188543328</v>
      </c>
      <c r="BD6" s="8">
        <f t="shared" si="5"/>
        <v>41082.301855512233</v>
      </c>
      <c r="BE6" s="8">
        <f t="shared" si="5"/>
        <v>44779.709022508338</v>
      </c>
      <c r="BF6" s="8">
        <f t="shared" si="5"/>
        <v>48809.882834534088</v>
      </c>
      <c r="BG6" s="8">
        <f t="shared" si="5"/>
        <v>53202.772289642162</v>
      </c>
      <c r="BH6" s="8">
        <f t="shared" si="5"/>
        <v>57991.021795709959</v>
      </c>
      <c r="BI6" s="8">
        <f t="shared" si="5"/>
        <v>63210.213757323858</v>
      </c>
      <c r="BJ6" s="8">
        <f t="shared" si="5"/>
        <v>68899.132995483014</v>
      </c>
    </row>
    <row r="7" spans="1:62" s="2" customFormat="1" x14ac:dyDescent="0.2">
      <c r="B7" s="2" t="s">
        <v>20</v>
      </c>
      <c r="C7" s="5"/>
      <c r="D7" s="5">
        <v>50.445999999999998</v>
      </c>
      <c r="E7" s="5">
        <v>66.680999999999997</v>
      </c>
      <c r="F7" s="5">
        <v>82.903999999999996</v>
      </c>
      <c r="G7" s="5">
        <v>97.346000000000004</v>
      </c>
      <c r="H7" s="5">
        <v>106.121</v>
      </c>
      <c r="I7" s="5">
        <v>120.786</v>
      </c>
      <c r="J7" s="5">
        <v>134.18</v>
      </c>
      <c r="K7" s="5">
        <v>147.93</v>
      </c>
      <c r="L7" s="2">
        <v>173.232</v>
      </c>
      <c r="M7" s="2">
        <v>190.721</v>
      </c>
      <c r="N7" s="2">
        <v>205.65700000000001</v>
      </c>
      <c r="O7" s="2">
        <v>209.41399999999999</v>
      </c>
      <c r="P7" s="2">
        <v>228.94800000000001</v>
      </c>
      <c r="Q7" s="2">
        <v>228.94800000000001</v>
      </c>
      <c r="R7" s="2">
        <v>241.804</v>
      </c>
      <c r="S7" s="2">
        <v>272.517</v>
      </c>
      <c r="T7" s="2">
        <v>288.07799999999997</v>
      </c>
      <c r="U7" s="2">
        <v>320.89400000000001</v>
      </c>
      <c r="V7" s="2">
        <v>333.18400000000003</v>
      </c>
      <c r="W7" s="2">
        <v>348.786</v>
      </c>
      <c r="X7" s="2">
        <v>371.815</v>
      </c>
      <c r="Y7" s="18">
        <v>390.87299999999999</v>
      </c>
      <c r="Z7" s="2">
        <f>+Z6*0.32</f>
        <v>401.28000000000003</v>
      </c>
      <c r="AA7" s="2">
        <f t="shared" ref="AA7:AD7" si="6">+AA6*0.32</f>
        <v>425.79839999999996</v>
      </c>
      <c r="AB7" s="2">
        <f t="shared" si="6"/>
        <v>458.33235200000001</v>
      </c>
      <c r="AC7" s="2">
        <f t="shared" si="6"/>
        <v>498.88232256000003</v>
      </c>
      <c r="AD7" s="2">
        <f t="shared" si="6"/>
        <v>531.44879223680005</v>
      </c>
      <c r="AI7" s="2">
        <f>+SUM(G7:J7)</f>
        <v>458.43299999999999</v>
      </c>
      <c r="AJ7" s="2">
        <f>+SUM(K7:N7)</f>
        <v>717.54000000000008</v>
      </c>
      <c r="AK7" s="2">
        <f>+SUM(O7:R7)</f>
        <v>909.11399999999992</v>
      </c>
      <c r="AL7" s="2">
        <f>+SUM(S7:V7)</f>
        <v>1214.673</v>
      </c>
      <c r="AM7" s="2">
        <f>+SUM(W7:Z7)</f>
        <v>1512.7539999999999</v>
      </c>
      <c r="AN7" s="2">
        <f>+SUM(AA7:AD7)</f>
        <v>1914.4618667968</v>
      </c>
      <c r="AO7" s="2">
        <f t="shared" ref="AO7" si="7">+AO6*0.32</f>
        <v>2393.0773334960004</v>
      </c>
      <c r="AP7" s="2">
        <f t="shared" ref="AP7" si="8">+AP6*0.32</f>
        <v>2991.3466668700003</v>
      </c>
      <c r="AQ7" s="2">
        <f t="shared" ref="AQ7" si="9">+AQ6*0.32</f>
        <v>3739.1833335875003</v>
      </c>
      <c r="AR7" s="2">
        <f t="shared" ref="AR7" si="10">+AR6*0.32</f>
        <v>4673.9791669843753</v>
      </c>
      <c r="AS7" s="2">
        <f t="shared" ref="AS7" si="11">+AS6*0.32</f>
        <v>5094.6372920129697</v>
      </c>
      <c r="AT7" s="2">
        <f t="shared" ref="AT7" si="12">+AT6*0.32</f>
        <v>5553.1546482941367</v>
      </c>
      <c r="AU7" s="2">
        <f t="shared" ref="AU7" si="13">+AU6*0.32</f>
        <v>6052.9385666406097</v>
      </c>
      <c r="AV7" s="2">
        <f t="shared" ref="AV7" si="14">+AV6*0.32</f>
        <v>6597.7030376382654</v>
      </c>
      <c r="AW7" s="2">
        <f t="shared" ref="AW7" si="15">+AW6*0.32</f>
        <v>7191.4963110257095</v>
      </c>
      <c r="AX7" s="2">
        <f t="shared" ref="AX7" si="16">+AX6*0.32</f>
        <v>7838.7309790180243</v>
      </c>
      <c r="AY7" s="2">
        <f t="shared" ref="AY7" si="17">+AY6*0.32</f>
        <v>8544.2167671296465</v>
      </c>
      <c r="AZ7" s="2">
        <f t="shared" ref="AZ7" si="18">+AZ6*0.32</f>
        <v>9313.1962761713166</v>
      </c>
      <c r="BA7" s="2">
        <f t="shared" ref="BA7" si="19">+BA6*0.32</f>
        <v>10151.383941026736</v>
      </c>
      <c r="BB7" s="2">
        <f t="shared" ref="BB7" si="20">+BB6*0.32</f>
        <v>11065.008495719141</v>
      </c>
      <c r="BC7" s="2">
        <f t="shared" ref="BC7" si="21">+BC6*0.32</f>
        <v>12060.859260333866</v>
      </c>
      <c r="BD7" s="2">
        <f t="shared" ref="BD7" si="22">+BD6*0.32</f>
        <v>13146.336593763916</v>
      </c>
      <c r="BE7" s="2">
        <f t="shared" ref="BE7" si="23">+BE6*0.32</f>
        <v>14329.506887202668</v>
      </c>
      <c r="BF7" s="2">
        <f t="shared" ref="BF7" si="24">+BF6*0.32</f>
        <v>15619.162507050909</v>
      </c>
      <c r="BG7" s="2">
        <f t="shared" ref="BG7" si="25">+BG6*0.32</f>
        <v>17024.887132685493</v>
      </c>
      <c r="BH7" s="2">
        <f t="shared" ref="BH7" si="26">+BH6*0.32</f>
        <v>18557.126974627186</v>
      </c>
      <c r="BI7" s="2">
        <f t="shared" ref="BI7" si="27">+BI6*0.32</f>
        <v>20227.268402343634</v>
      </c>
      <c r="BJ7" s="2">
        <f t="shared" ref="BJ7" si="28">+BJ6*0.32</f>
        <v>22047.722558554564</v>
      </c>
    </row>
    <row r="8" spans="1:62" s="2" customFormat="1" x14ac:dyDescent="0.2">
      <c r="B8" s="2" t="s">
        <v>21</v>
      </c>
      <c r="C8" s="5"/>
      <c r="D8" s="5">
        <f t="shared" ref="D8:K8" si="29">+D6-D7</f>
        <v>82.699000000000012</v>
      </c>
      <c r="E8" s="5">
        <f t="shared" si="29"/>
        <v>92.942999999999998</v>
      </c>
      <c r="F8" s="5">
        <f t="shared" si="29"/>
        <v>107.56100000000001</v>
      </c>
      <c r="G8" s="5">
        <f t="shared" si="29"/>
        <v>131.56799999999998</v>
      </c>
      <c r="H8" s="5">
        <f t="shared" si="29"/>
        <v>166.077</v>
      </c>
      <c r="I8" s="5">
        <f t="shared" si="29"/>
        <v>213.65499999999997</v>
      </c>
      <c r="J8" s="5">
        <f t="shared" si="29"/>
        <v>249.59399999999999</v>
      </c>
      <c r="K8" s="5">
        <f t="shared" si="29"/>
        <v>274.44099999999997</v>
      </c>
      <c r="L8" s="2">
        <f t="shared" ref="L8" si="30">+L6-L7</f>
        <v>324.01599999999996</v>
      </c>
      <c r="M8" s="2">
        <f t="shared" ref="M8:N8" si="31">+M6-M7</f>
        <v>366.30700000000002</v>
      </c>
      <c r="N8" s="2">
        <f t="shared" si="31"/>
        <v>383.3549999999999</v>
      </c>
      <c r="O8" s="2">
        <f>+O6-O7</f>
        <v>414.18500000000006</v>
      </c>
      <c r="P8" s="2">
        <f>+P6-P7</f>
        <v>445.07000000000005</v>
      </c>
      <c r="Q8" s="2">
        <f>+Q6-Q7</f>
        <v>505.22500000000002</v>
      </c>
      <c r="R8" s="2">
        <f>+R6-R7</f>
        <v>532.89499999999998</v>
      </c>
      <c r="S8" s="2">
        <f>+S6-S7</f>
        <v>556.19200000000001</v>
      </c>
      <c r="T8" s="2">
        <f t="shared" ref="T8" si="32">+T6-T7</f>
        <v>580.745</v>
      </c>
      <c r="U8" s="2">
        <f t="shared" ref="U8:AD8" si="33">+U6-U7</f>
        <v>621.20000000000005</v>
      </c>
      <c r="V8" s="2">
        <f t="shared" si="33"/>
        <v>653.58600000000001</v>
      </c>
      <c r="W8" s="2">
        <f t="shared" si="33"/>
        <v>693.28800000000001</v>
      </c>
      <c r="X8" s="2">
        <f t="shared" si="33"/>
        <v>773.13400000000001</v>
      </c>
      <c r="Y8" s="18">
        <f t="shared" si="33"/>
        <v>822.03599999999983</v>
      </c>
      <c r="Z8" s="2">
        <f t="shared" si="33"/>
        <v>852.72</v>
      </c>
      <c r="AA8" s="2">
        <f t="shared" si="33"/>
        <v>904.82159999999999</v>
      </c>
      <c r="AB8" s="2">
        <f t="shared" si="33"/>
        <v>973.95624800000007</v>
      </c>
      <c r="AC8" s="2">
        <f t="shared" si="33"/>
        <v>1060.1249354400002</v>
      </c>
      <c r="AD8" s="2">
        <f t="shared" si="33"/>
        <v>1129.3286835032</v>
      </c>
      <c r="AI8" s="2">
        <f t="shared" ref="AI8:AO8" si="34">+AI6-AI7</f>
        <v>760.89399999999978</v>
      </c>
      <c r="AJ8" s="2">
        <f t="shared" si="34"/>
        <v>1348.1189999999997</v>
      </c>
      <c r="AK8" s="2">
        <f t="shared" si="34"/>
        <v>1897.375</v>
      </c>
      <c r="AL8" s="2">
        <f t="shared" si="34"/>
        <v>2411.723</v>
      </c>
      <c r="AM8" s="2">
        <f t="shared" si="34"/>
        <v>3141.1779999999999</v>
      </c>
      <c r="AN8" s="2">
        <f t="shared" si="34"/>
        <v>4068.2314669432008</v>
      </c>
      <c r="AO8" s="2">
        <f t="shared" si="34"/>
        <v>5085.2893336790003</v>
      </c>
      <c r="AP8" s="2">
        <f t="shared" ref="AP8:BJ8" si="35">+AP6-AP7</f>
        <v>6356.6116670987503</v>
      </c>
      <c r="AQ8" s="2">
        <f t="shared" si="35"/>
        <v>7945.7645838734388</v>
      </c>
      <c r="AR8" s="2">
        <f t="shared" si="35"/>
        <v>9932.2057298417967</v>
      </c>
      <c r="AS8" s="2">
        <f t="shared" si="35"/>
        <v>10826.10424552756</v>
      </c>
      <c r="AT8" s="2">
        <f t="shared" si="35"/>
        <v>11800.45362762504</v>
      </c>
      <c r="AU8" s="2">
        <f t="shared" si="35"/>
        <v>12862.494454111296</v>
      </c>
      <c r="AV8" s="2">
        <f t="shared" si="35"/>
        <v>14020.118954981313</v>
      </c>
      <c r="AW8" s="2">
        <f t="shared" si="35"/>
        <v>15281.929660929633</v>
      </c>
      <c r="AX8" s="2">
        <f t="shared" si="35"/>
        <v>16657.303330413299</v>
      </c>
      <c r="AY8" s="2">
        <f t="shared" si="35"/>
        <v>18156.460630150497</v>
      </c>
      <c r="AZ8" s="2">
        <f t="shared" si="35"/>
        <v>19790.542086864043</v>
      </c>
      <c r="BA8" s="2">
        <f t="shared" si="35"/>
        <v>21571.690874681812</v>
      </c>
      <c r="BB8" s="2">
        <f t="shared" si="35"/>
        <v>23513.143053403175</v>
      </c>
      <c r="BC8" s="2">
        <f t="shared" si="35"/>
        <v>25629.325928209462</v>
      </c>
      <c r="BD8" s="2">
        <f t="shared" si="35"/>
        <v>27935.965261748315</v>
      </c>
      <c r="BE8" s="2">
        <f t="shared" si="35"/>
        <v>30450.20213530567</v>
      </c>
      <c r="BF8" s="2">
        <f t="shared" si="35"/>
        <v>33190.720327483177</v>
      </c>
      <c r="BG8" s="2">
        <f t="shared" si="35"/>
        <v>36177.885156956669</v>
      </c>
      <c r="BH8" s="2">
        <f t="shared" si="35"/>
        <v>39433.894821082773</v>
      </c>
      <c r="BI8" s="2">
        <f t="shared" si="35"/>
        <v>42982.945354980227</v>
      </c>
      <c r="BJ8" s="2">
        <f t="shared" si="35"/>
        <v>46851.410436928447</v>
      </c>
    </row>
    <row r="9" spans="1:62" s="2" customFormat="1" x14ac:dyDescent="0.2">
      <c r="B9" s="2" t="s">
        <v>22</v>
      </c>
      <c r="C9" s="5"/>
      <c r="D9" s="5">
        <v>92.662999999999997</v>
      </c>
      <c r="E9" s="5">
        <v>134.727</v>
      </c>
      <c r="F9" s="5">
        <v>154.05000000000001</v>
      </c>
      <c r="G9" s="5">
        <v>166.804</v>
      </c>
      <c r="H9" s="5">
        <v>182.90299999999999</v>
      </c>
      <c r="I9" s="5">
        <v>190.971</v>
      </c>
      <c r="J9" s="5">
        <v>203.28700000000001</v>
      </c>
      <c r="K9" s="5">
        <v>243.91200000000001</v>
      </c>
      <c r="L9" s="2">
        <v>274.64499999999998</v>
      </c>
      <c r="M9" s="2">
        <v>284.47699999999998</v>
      </c>
      <c r="N9" s="2">
        <v>303.47300000000001</v>
      </c>
      <c r="O9" s="2">
        <v>331.55799999999999</v>
      </c>
      <c r="P9" s="2">
        <v>355.07900000000001</v>
      </c>
      <c r="Q9" s="2">
        <v>355.07900000000001</v>
      </c>
      <c r="R9" s="2">
        <v>361.822</v>
      </c>
      <c r="S9" s="2">
        <v>400.822</v>
      </c>
      <c r="T9" s="2">
        <v>400.625</v>
      </c>
      <c r="U9" s="2">
        <v>437.96199999999999</v>
      </c>
      <c r="V9" s="2">
        <v>432.68299999999999</v>
      </c>
      <c r="W9" s="2">
        <v>458.55399999999997</v>
      </c>
      <c r="X9" s="2">
        <v>501.95699999999999</v>
      </c>
      <c r="Y9" s="18">
        <v>550.36400000000003</v>
      </c>
      <c r="Z9" s="2">
        <f>+Y9*1.07</f>
        <v>588.88948000000005</v>
      </c>
      <c r="AA9" s="2">
        <f t="shared" ref="AA9:AD9" si="36">+Z9*1.07</f>
        <v>630.11174360000007</v>
      </c>
      <c r="AB9" s="2">
        <f t="shared" si="36"/>
        <v>674.21956565200014</v>
      </c>
      <c r="AC9" s="2">
        <f t="shared" si="36"/>
        <v>721.41493524764019</v>
      </c>
      <c r="AD9" s="2">
        <f t="shared" si="36"/>
        <v>771.91398071497508</v>
      </c>
      <c r="AI9" s="2">
        <f>+SUM(G9:J9)</f>
        <v>743.96500000000003</v>
      </c>
      <c r="AJ9" s="2">
        <f>+SUM(K9:N9)</f>
        <v>1106.5070000000001</v>
      </c>
      <c r="AK9" s="2">
        <f>+SUM(O9:R9)</f>
        <v>1403.538</v>
      </c>
      <c r="AL9" s="2">
        <f>+SUM(S9:V9)</f>
        <v>1672.0920000000001</v>
      </c>
      <c r="AM9" s="2">
        <f>+SUM(W9:Z9)</f>
        <v>2099.7644799999998</v>
      </c>
      <c r="AN9" s="2">
        <f>+SUM(AA9:AD9)</f>
        <v>2797.6602252146154</v>
      </c>
      <c r="AO9" s="2">
        <f t="shared" ref="AO9:BJ9" si="37">+AN9*1.07</f>
        <v>2993.4964409796385</v>
      </c>
      <c r="AP9" s="2">
        <f t="shared" si="37"/>
        <v>3203.0411918482132</v>
      </c>
      <c r="AQ9" s="2">
        <f t="shared" si="37"/>
        <v>3427.2540752775885</v>
      </c>
      <c r="AR9" s="2">
        <f t="shared" si="37"/>
        <v>3667.1618605470198</v>
      </c>
      <c r="AS9" s="2">
        <f t="shared" si="37"/>
        <v>3923.8631907853114</v>
      </c>
      <c r="AT9" s="2">
        <f t="shared" si="37"/>
        <v>4198.5336141402831</v>
      </c>
      <c r="AU9" s="2">
        <f t="shared" si="37"/>
        <v>4492.4309671301035</v>
      </c>
      <c r="AV9" s="2">
        <f t="shared" si="37"/>
        <v>4806.9011348292106</v>
      </c>
      <c r="AW9" s="2">
        <f t="shared" si="37"/>
        <v>5143.3842142672556</v>
      </c>
      <c r="AX9" s="2">
        <f t="shared" si="37"/>
        <v>5503.4211092659634</v>
      </c>
      <c r="AY9" s="2">
        <f t="shared" si="37"/>
        <v>5888.6605869145815</v>
      </c>
      <c r="AZ9" s="2">
        <f t="shared" si="37"/>
        <v>6300.8668279986023</v>
      </c>
      <c r="BA9" s="2">
        <f t="shared" si="37"/>
        <v>6741.9275059585052</v>
      </c>
      <c r="BB9" s="2">
        <f t="shared" si="37"/>
        <v>7213.8624313756009</v>
      </c>
      <c r="BC9" s="2">
        <f t="shared" si="37"/>
        <v>7718.8328015718935</v>
      </c>
      <c r="BD9" s="2">
        <f t="shared" si="37"/>
        <v>8259.1510976819263</v>
      </c>
      <c r="BE9" s="2">
        <f t="shared" si="37"/>
        <v>8837.2916745196617</v>
      </c>
      <c r="BF9" s="2">
        <f t="shared" si="37"/>
        <v>9455.9020917360394</v>
      </c>
      <c r="BG9" s="2">
        <f t="shared" si="37"/>
        <v>10117.815238157562</v>
      </c>
      <c r="BH9" s="2">
        <f t="shared" si="37"/>
        <v>10826.062304828592</v>
      </c>
      <c r="BI9" s="2">
        <f t="shared" si="37"/>
        <v>11583.886666166594</v>
      </c>
      <c r="BJ9" s="2">
        <f t="shared" si="37"/>
        <v>12394.758732798256</v>
      </c>
    </row>
    <row r="10" spans="1:62" s="2" customFormat="1" x14ac:dyDescent="0.2">
      <c r="B10" s="2" t="s">
        <v>23</v>
      </c>
      <c r="C10" s="5"/>
      <c r="D10" s="5">
        <v>36.533000000000001</v>
      </c>
      <c r="E10" s="5">
        <v>74.138000000000005</v>
      </c>
      <c r="F10" s="5">
        <v>93.997</v>
      </c>
      <c r="G10" s="5">
        <v>109.79600000000001</v>
      </c>
      <c r="H10" s="5">
        <v>118.087</v>
      </c>
      <c r="I10" s="5">
        <v>115.9</v>
      </c>
      <c r="J10" s="5">
        <v>123.149</v>
      </c>
      <c r="K10" s="5">
        <v>150.798</v>
      </c>
      <c r="L10" s="2">
        <v>183.74799999999999</v>
      </c>
      <c r="M10" s="2">
        <v>211.387</v>
      </c>
      <c r="N10" s="2">
        <v>242.125</v>
      </c>
      <c r="O10" s="2">
        <v>277.41199999999998</v>
      </c>
      <c r="P10" s="2">
        <v>332.065</v>
      </c>
      <c r="Q10" s="2">
        <v>332.065</v>
      </c>
      <c r="R10" s="2">
        <v>364.476</v>
      </c>
      <c r="S10" s="2">
        <v>410.79399999999998</v>
      </c>
      <c r="T10" s="2">
        <v>437.66</v>
      </c>
      <c r="U10" s="2">
        <v>442.435</v>
      </c>
      <c r="V10" s="2">
        <v>492.49</v>
      </c>
      <c r="W10" s="2">
        <v>472.404</v>
      </c>
      <c r="X10" s="2">
        <v>492.00299999999999</v>
      </c>
      <c r="Y10" s="18">
        <v>494.02699999999999</v>
      </c>
      <c r="Z10" s="2">
        <v>494.02699999999999</v>
      </c>
      <c r="AA10" s="2">
        <v>494.02699999999999</v>
      </c>
      <c r="AB10" s="2">
        <v>494.02699999999999</v>
      </c>
      <c r="AC10" s="2">
        <v>494.02699999999999</v>
      </c>
      <c r="AD10" s="2">
        <v>494.02699999999999</v>
      </c>
      <c r="AI10" s="2">
        <f>+SUM(G10:J10)</f>
        <v>466.93200000000002</v>
      </c>
      <c r="AJ10" s="2">
        <f>+SUM(K10:N10)</f>
        <v>788.05799999999999</v>
      </c>
      <c r="AK10" s="2">
        <f>+SUM(O10:R10)</f>
        <v>1306.018</v>
      </c>
      <c r="AL10" s="2">
        <f>+SUM(S10:V10)</f>
        <v>1783.3789999999999</v>
      </c>
      <c r="AM10" s="2">
        <f>+SUM(W10:Z10)</f>
        <v>1952.461</v>
      </c>
      <c r="AN10" s="2">
        <f>+SUM(AA10:AD10)</f>
        <v>1976.1079999999999</v>
      </c>
      <c r="AO10" s="2">
        <v>494.02699999999999</v>
      </c>
      <c r="AP10" s="2">
        <v>494.02699999999999</v>
      </c>
      <c r="AQ10" s="2">
        <v>494.02699999999999</v>
      </c>
      <c r="AR10" s="2">
        <v>494.02699999999999</v>
      </c>
      <c r="AS10" s="2">
        <v>494.02699999999999</v>
      </c>
      <c r="AT10" s="2">
        <v>494.02699999999999</v>
      </c>
      <c r="AU10" s="2">
        <v>494.02699999999999</v>
      </c>
      <c r="AV10" s="2">
        <v>494.02699999999999</v>
      </c>
      <c r="AW10" s="2">
        <v>494.02699999999999</v>
      </c>
      <c r="AX10" s="2">
        <v>494.02699999999999</v>
      </c>
      <c r="AY10" s="2">
        <v>494.02699999999999</v>
      </c>
      <c r="AZ10" s="2">
        <v>494.02699999999999</v>
      </c>
      <c r="BA10" s="2">
        <v>494.02699999999999</v>
      </c>
      <c r="BB10" s="2">
        <v>494.02699999999999</v>
      </c>
      <c r="BC10" s="2">
        <v>494.02699999999999</v>
      </c>
      <c r="BD10" s="2">
        <v>494.02699999999999</v>
      </c>
      <c r="BE10" s="2">
        <v>494.02699999999999</v>
      </c>
      <c r="BF10" s="2">
        <v>494.02699999999999</v>
      </c>
      <c r="BG10" s="2">
        <v>494.02699999999999</v>
      </c>
      <c r="BH10" s="2">
        <v>494.02699999999999</v>
      </c>
      <c r="BI10" s="2">
        <v>494.02699999999999</v>
      </c>
      <c r="BJ10" s="2">
        <v>494.02699999999999</v>
      </c>
    </row>
    <row r="11" spans="1:62" s="2" customFormat="1" x14ac:dyDescent="0.2">
      <c r="B11" s="2" t="s">
        <v>24</v>
      </c>
      <c r="C11" s="5"/>
      <c r="D11" s="5">
        <v>31.186</v>
      </c>
      <c r="E11" s="5">
        <v>53.531999999999996</v>
      </c>
      <c r="F11" s="5">
        <v>59.911000000000001</v>
      </c>
      <c r="G11" s="5">
        <v>60.563000000000002</v>
      </c>
      <c r="H11" s="5">
        <v>65.227999999999994</v>
      </c>
      <c r="I11" s="5">
        <v>64.055000000000007</v>
      </c>
      <c r="J11" s="5">
        <v>75.186999999999998</v>
      </c>
      <c r="K11" s="5">
        <v>68.497</v>
      </c>
      <c r="L11" s="2">
        <v>73.355000000000004</v>
      </c>
      <c r="M11" s="2">
        <v>76.462000000000003</v>
      </c>
      <c r="N11" s="2">
        <v>77.507000000000005</v>
      </c>
      <c r="O11" s="2">
        <v>78.453000000000003</v>
      </c>
      <c r="P11" s="2">
        <v>78.703999999999994</v>
      </c>
      <c r="Q11" s="2">
        <v>78.703999999999994</v>
      </c>
      <c r="R11" s="2">
        <v>82.102000000000004</v>
      </c>
      <c r="S11" s="2">
        <v>93.147999999999996</v>
      </c>
      <c r="T11" s="2">
        <v>97.763000000000005</v>
      </c>
      <c r="U11" s="2">
        <v>106.26</v>
      </c>
      <c r="V11" s="2">
        <v>115.09099999999999</v>
      </c>
      <c r="W11" s="2">
        <v>209.58699999999999</v>
      </c>
      <c r="X11" s="2">
        <v>119.47</v>
      </c>
      <c r="Y11" s="18">
        <v>107.11799999999999</v>
      </c>
      <c r="Z11" s="2">
        <v>120</v>
      </c>
      <c r="AA11" s="2">
        <v>120</v>
      </c>
      <c r="AB11" s="2">
        <v>120</v>
      </c>
      <c r="AC11" s="2">
        <v>120</v>
      </c>
      <c r="AD11" s="2">
        <v>120</v>
      </c>
      <c r="AI11" s="2">
        <f>+SUM(G11:J11)</f>
        <v>265.03300000000002</v>
      </c>
      <c r="AJ11" s="2">
        <f>+SUM(K11:N11)</f>
        <v>295.82100000000003</v>
      </c>
      <c r="AK11" s="2">
        <f>+SUM(O11:R11)</f>
        <v>317.96299999999997</v>
      </c>
      <c r="AL11" s="2">
        <f>+SUM(S11:V11)</f>
        <v>412.262</v>
      </c>
      <c r="AM11" s="2">
        <f>+SUM(W11:Z11)</f>
        <v>556.17499999999995</v>
      </c>
      <c r="AN11" s="2">
        <f>+SUM(AA11:AD11)</f>
        <v>480</v>
      </c>
      <c r="AO11" s="2">
        <v>120</v>
      </c>
      <c r="AP11" s="2">
        <v>120</v>
      </c>
      <c r="AQ11" s="2">
        <v>120</v>
      </c>
      <c r="AR11" s="2">
        <v>120</v>
      </c>
      <c r="AS11" s="2">
        <v>120</v>
      </c>
      <c r="AT11" s="2">
        <v>120</v>
      </c>
      <c r="AU11" s="2">
        <v>120</v>
      </c>
      <c r="AV11" s="2">
        <v>120</v>
      </c>
      <c r="AW11" s="2">
        <v>120</v>
      </c>
      <c r="AX11" s="2">
        <v>120</v>
      </c>
      <c r="AY11" s="2">
        <v>120</v>
      </c>
      <c r="AZ11" s="2">
        <v>120</v>
      </c>
      <c r="BA11" s="2">
        <v>120</v>
      </c>
      <c r="BB11" s="2">
        <v>120</v>
      </c>
      <c r="BC11" s="2">
        <v>120</v>
      </c>
      <c r="BD11" s="2">
        <v>120</v>
      </c>
      <c r="BE11" s="2">
        <v>120</v>
      </c>
      <c r="BF11" s="2">
        <v>120</v>
      </c>
      <c r="BG11" s="2">
        <v>120</v>
      </c>
      <c r="BH11" s="2">
        <v>120</v>
      </c>
      <c r="BI11" s="2">
        <v>120</v>
      </c>
      <c r="BJ11" s="2">
        <v>120</v>
      </c>
    </row>
    <row r="12" spans="1:62" s="2" customFormat="1" x14ac:dyDescent="0.2">
      <c r="B12" s="2" t="s">
        <v>25</v>
      </c>
      <c r="C12" s="5"/>
      <c r="D12" s="5">
        <f t="shared" ref="D12:K12" si="38">SUM(D9:D11)</f>
        <v>160.38200000000001</v>
      </c>
      <c r="E12" s="5">
        <f t="shared" si="38"/>
        <v>262.39699999999999</v>
      </c>
      <c r="F12" s="5">
        <f t="shared" si="38"/>
        <v>307.95800000000003</v>
      </c>
      <c r="G12" s="5">
        <f t="shared" si="38"/>
        <v>337.16300000000001</v>
      </c>
      <c r="H12" s="5">
        <f t="shared" si="38"/>
        <v>366.21800000000002</v>
      </c>
      <c r="I12" s="5">
        <f t="shared" si="38"/>
        <v>370.92599999999999</v>
      </c>
      <c r="J12" s="5">
        <f t="shared" si="38"/>
        <v>401.62300000000005</v>
      </c>
      <c r="K12" s="5">
        <f t="shared" si="38"/>
        <v>463.20700000000005</v>
      </c>
      <c r="L12" s="2">
        <f t="shared" ref="L12" si="39">+L11+L10+L9</f>
        <v>531.74800000000005</v>
      </c>
      <c r="M12" s="2">
        <f t="shared" ref="M12:N12" si="40">+M11+M10+M9</f>
        <v>572.32600000000002</v>
      </c>
      <c r="N12" s="2">
        <f t="shared" si="40"/>
        <v>623.10500000000002</v>
      </c>
      <c r="O12" s="2">
        <f>+O11+O10+O9</f>
        <v>687.423</v>
      </c>
      <c r="P12" s="2">
        <f>+P11+P10+P9</f>
        <v>765.84799999999996</v>
      </c>
      <c r="Q12" s="2">
        <f>+Q11+Q10+Q9</f>
        <v>765.84799999999996</v>
      </c>
      <c r="R12" s="2">
        <f>+R11+R10+R9</f>
        <v>808.4</v>
      </c>
      <c r="S12" s="2">
        <f>+S11+S10+S9</f>
        <v>904.76400000000001</v>
      </c>
      <c r="T12" s="2">
        <f t="shared" ref="T12" si="41">+T11+T10+T9</f>
        <v>936.048</v>
      </c>
      <c r="U12" s="2">
        <f t="shared" ref="U12:AD12" si="42">+U11+U10+U9</f>
        <v>986.65700000000004</v>
      </c>
      <c r="V12" s="2">
        <f t="shared" si="42"/>
        <v>1040.2640000000001</v>
      </c>
      <c r="W12" s="2">
        <f t="shared" si="42"/>
        <v>1140.5450000000001</v>
      </c>
      <c r="X12" s="2">
        <f t="shared" si="42"/>
        <v>1113.4299999999998</v>
      </c>
      <c r="Y12" s="18">
        <f t="shared" si="42"/>
        <v>1151.509</v>
      </c>
      <c r="Z12" s="2">
        <f t="shared" si="42"/>
        <v>1202.9164800000001</v>
      </c>
      <c r="AA12" s="2">
        <f t="shared" si="42"/>
        <v>1244.1387436</v>
      </c>
      <c r="AB12" s="2">
        <f t="shared" si="42"/>
        <v>1288.2465656520003</v>
      </c>
      <c r="AC12" s="2">
        <f t="shared" si="42"/>
        <v>1335.4419352476402</v>
      </c>
      <c r="AD12" s="2">
        <f t="shared" si="42"/>
        <v>1385.940980714975</v>
      </c>
      <c r="AI12" s="2">
        <f t="shared" ref="AI12:AO12" si="43">+AI11+AI10+AI9</f>
        <v>1475.93</v>
      </c>
      <c r="AJ12" s="2">
        <f t="shared" si="43"/>
        <v>2190.386</v>
      </c>
      <c r="AK12" s="2">
        <f t="shared" si="43"/>
        <v>3027.5190000000002</v>
      </c>
      <c r="AL12" s="2">
        <f t="shared" si="43"/>
        <v>3867.7330000000002</v>
      </c>
      <c r="AM12" s="2">
        <f t="shared" si="43"/>
        <v>4608.4004800000002</v>
      </c>
      <c r="AN12" s="2">
        <f t="shared" si="43"/>
        <v>5253.7682252146151</v>
      </c>
      <c r="AO12" s="2">
        <f t="shared" si="43"/>
        <v>3607.5234409796385</v>
      </c>
      <c r="AP12" s="2">
        <f t="shared" ref="AP12:BJ12" si="44">+AP11+AP10+AP9</f>
        <v>3817.0681918482132</v>
      </c>
      <c r="AQ12" s="2">
        <f t="shared" si="44"/>
        <v>4041.2810752775886</v>
      </c>
      <c r="AR12" s="2">
        <f t="shared" si="44"/>
        <v>4281.1888605470194</v>
      </c>
      <c r="AS12" s="2">
        <f t="shared" si="44"/>
        <v>4537.8901907853115</v>
      </c>
      <c r="AT12" s="2">
        <f t="shared" si="44"/>
        <v>4812.5606141402832</v>
      </c>
      <c r="AU12" s="2">
        <f t="shared" si="44"/>
        <v>5106.4579671301035</v>
      </c>
      <c r="AV12" s="2">
        <f t="shared" si="44"/>
        <v>5420.9281348292106</v>
      </c>
      <c r="AW12" s="2">
        <f t="shared" si="44"/>
        <v>5757.4112142672557</v>
      </c>
      <c r="AX12" s="2">
        <f t="shared" si="44"/>
        <v>6117.4481092659635</v>
      </c>
      <c r="AY12" s="2">
        <f t="shared" si="44"/>
        <v>6502.6875869145815</v>
      </c>
      <c r="AZ12" s="2">
        <f t="shared" si="44"/>
        <v>6914.8938279986023</v>
      </c>
      <c r="BA12" s="2">
        <f t="shared" si="44"/>
        <v>7355.9545059585053</v>
      </c>
      <c r="BB12" s="2">
        <f t="shared" si="44"/>
        <v>7827.8894313756009</v>
      </c>
      <c r="BC12" s="2">
        <f t="shared" si="44"/>
        <v>8332.8598015718926</v>
      </c>
      <c r="BD12" s="2">
        <f t="shared" si="44"/>
        <v>8873.1780976819264</v>
      </c>
      <c r="BE12" s="2">
        <f t="shared" si="44"/>
        <v>9451.3186745196617</v>
      </c>
      <c r="BF12" s="2">
        <f t="shared" si="44"/>
        <v>10069.929091736039</v>
      </c>
      <c r="BG12" s="2">
        <f t="shared" si="44"/>
        <v>10731.842238157562</v>
      </c>
      <c r="BH12" s="2">
        <f t="shared" si="44"/>
        <v>11440.089304828593</v>
      </c>
      <c r="BI12" s="2">
        <f t="shared" si="44"/>
        <v>12197.913666166594</v>
      </c>
      <c r="BJ12" s="2">
        <f t="shared" si="44"/>
        <v>13008.785732798257</v>
      </c>
    </row>
    <row r="13" spans="1:62" s="2" customFormat="1" x14ac:dyDescent="0.2">
      <c r="B13" s="2" t="s">
        <v>26</v>
      </c>
      <c r="C13" s="5"/>
      <c r="D13" s="5">
        <f t="shared" ref="D13:K13" si="45">+D8-D12</f>
        <v>-77.682999999999993</v>
      </c>
      <c r="E13" s="5">
        <f t="shared" si="45"/>
        <v>-169.45400000000001</v>
      </c>
      <c r="F13" s="5">
        <f t="shared" si="45"/>
        <v>-200.39700000000002</v>
      </c>
      <c r="G13" s="5">
        <f t="shared" si="45"/>
        <v>-205.59500000000003</v>
      </c>
      <c r="H13" s="5">
        <f t="shared" si="45"/>
        <v>-200.14100000000002</v>
      </c>
      <c r="I13" s="5">
        <f t="shared" si="45"/>
        <v>-157.27100000000002</v>
      </c>
      <c r="J13" s="5">
        <f t="shared" si="45"/>
        <v>-152.02900000000005</v>
      </c>
      <c r="K13" s="5">
        <f t="shared" si="45"/>
        <v>-188.76600000000008</v>
      </c>
      <c r="L13" s="2">
        <f t="shared" ref="L13" si="46">+L8-L12</f>
        <v>-207.73200000000008</v>
      </c>
      <c r="M13" s="2">
        <f t="shared" ref="M13:N13" si="47">+M8-M12</f>
        <v>-206.01900000000001</v>
      </c>
      <c r="N13" s="2">
        <f t="shared" si="47"/>
        <v>-239.75000000000011</v>
      </c>
      <c r="O13" s="2">
        <f>+O8-O12</f>
        <v>-273.23799999999994</v>
      </c>
      <c r="P13" s="2">
        <f>+P8-P12</f>
        <v>-320.77799999999991</v>
      </c>
      <c r="Q13" s="2">
        <f>+Q8-Q12</f>
        <v>-260.62299999999993</v>
      </c>
      <c r="R13" s="2">
        <f>+R8-R12</f>
        <v>-275.505</v>
      </c>
      <c r="S13" s="2">
        <f>+S8-S12</f>
        <v>-348.572</v>
      </c>
      <c r="T13" s="2">
        <f t="shared" ref="T13" si="48">+T8-T12</f>
        <v>-355.303</v>
      </c>
      <c r="U13" s="2">
        <f t="shared" ref="U13:AD13" si="49">+U8-U12</f>
        <v>-365.45699999999999</v>
      </c>
      <c r="V13" s="2">
        <f t="shared" si="49"/>
        <v>-386.67800000000011</v>
      </c>
      <c r="W13" s="2">
        <f t="shared" si="49"/>
        <v>-447.25700000000006</v>
      </c>
      <c r="X13" s="2">
        <f t="shared" si="49"/>
        <v>-340.29599999999982</v>
      </c>
      <c r="Y13" s="18">
        <f t="shared" si="49"/>
        <v>-329.47300000000018</v>
      </c>
      <c r="Z13" s="2">
        <f t="shared" si="49"/>
        <v>-350.19648000000007</v>
      </c>
      <c r="AA13" s="2">
        <f t="shared" si="49"/>
        <v>-339.31714360000001</v>
      </c>
      <c r="AB13" s="2">
        <f t="shared" si="49"/>
        <v>-314.29031765200023</v>
      </c>
      <c r="AC13" s="2">
        <f t="shared" si="49"/>
        <v>-275.31699980764006</v>
      </c>
      <c r="AD13" s="2">
        <f t="shared" si="49"/>
        <v>-256.61229721177506</v>
      </c>
      <c r="AI13" s="2">
        <f t="shared" ref="AI13:AO13" si="50">+AI8-AI12</f>
        <v>-715.03600000000029</v>
      </c>
      <c r="AJ13" s="2">
        <f t="shared" si="50"/>
        <v>-842.26700000000028</v>
      </c>
      <c r="AK13" s="2">
        <f t="shared" si="50"/>
        <v>-1130.1440000000002</v>
      </c>
      <c r="AL13" s="2">
        <f t="shared" si="50"/>
        <v>-1456.0100000000002</v>
      </c>
      <c r="AM13" s="2">
        <f t="shared" si="50"/>
        <v>-1467.2224800000004</v>
      </c>
      <c r="AN13" s="2">
        <f t="shared" si="50"/>
        <v>-1185.5367582714143</v>
      </c>
      <c r="AO13" s="2">
        <f t="shared" si="50"/>
        <v>1477.7658926993618</v>
      </c>
      <c r="AP13" s="2">
        <f t="shared" ref="AP13:BJ13" si="51">+AP8-AP12</f>
        <v>2539.5434752505371</v>
      </c>
      <c r="AQ13" s="2">
        <f t="shared" si="51"/>
        <v>3904.4835085958503</v>
      </c>
      <c r="AR13" s="2">
        <f t="shared" si="51"/>
        <v>5651.0168692947773</v>
      </c>
      <c r="AS13" s="2">
        <f t="shared" si="51"/>
        <v>6288.2140547422487</v>
      </c>
      <c r="AT13" s="2">
        <f t="shared" si="51"/>
        <v>6987.8930134847569</v>
      </c>
      <c r="AU13" s="2">
        <f t="shared" si="51"/>
        <v>7756.0364869811929</v>
      </c>
      <c r="AV13" s="2">
        <f t="shared" si="51"/>
        <v>8599.1908201521037</v>
      </c>
      <c r="AW13" s="2">
        <f t="shared" si="51"/>
        <v>9524.5184466623759</v>
      </c>
      <c r="AX13" s="2">
        <f t="shared" si="51"/>
        <v>10539.855221147336</v>
      </c>
      <c r="AY13" s="2">
        <f t="shared" si="51"/>
        <v>11653.773043235917</v>
      </c>
      <c r="AZ13" s="2">
        <f t="shared" si="51"/>
        <v>12875.64825886544</v>
      </c>
      <c r="BA13" s="2">
        <f t="shared" si="51"/>
        <v>14215.736368723306</v>
      </c>
      <c r="BB13" s="2">
        <f t="shared" si="51"/>
        <v>15685.253622027574</v>
      </c>
      <c r="BC13" s="2">
        <f t="shared" si="51"/>
        <v>17296.46612663757</v>
      </c>
      <c r="BD13" s="2">
        <f t="shared" si="51"/>
        <v>19062.787164066387</v>
      </c>
      <c r="BE13" s="2">
        <f t="shared" si="51"/>
        <v>20998.883460786008</v>
      </c>
      <c r="BF13" s="2">
        <f t="shared" si="51"/>
        <v>23120.791235747136</v>
      </c>
      <c r="BG13" s="2">
        <f t="shared" si="51"/>
        <v>25446.042918799107</v>
      </c>
      <c r="BH13" s="2">
        <f t="shared" si="51"/>
        <v>27993.805516254179</v>
      </c>
      <c r="BI13" s="2">
        <f t="shared" si="51"/>
        <v>30785.031688813633</v>
      </c>
      <c r="BJ13" s="2">
        <f t="shared" si="51"/>
        <v>33842.62470413019</v>
      </c>
    </row>
    <row r="14" spans="1:62" s="2" customFormat="1" x14ac:dyDescent="0.2">
      <c r="B14" s="2" t="s">
        <v>31</v>
      </c>
      <c r="C14" s="5"/>
      <c r="D14" s="5">
        <v>1.6890000000000001</v>
      </c>
      <c r="E14" s="5">
        <f>1.517-0.519</f>
        <v>0.99799999999999989</v>
      </c>
      <c r="F14" s="5">
        <f>1.853+0.951</f>
        <v>2.8039999999999998</v>
      </c>
      <c r="G14" s="5">
        <f>2.612-0.488</f>
        <v>2.1240000000000001</v>
      </c>
      <c r="H14" s="5">
        <v>2.19</v>
      </c>
      <c r="I14" s="5">
        <f>1.985+1.609</f>
        <v>3.5940000000000003</v>
      </c>
      <c r="J14" s="5">
        <v>2.3420000000000001</v>
      </c>
      <c r="K14" s="5">
        <f>4.759-8.481</f>
        <v>-3.7219999999999995</v>
      </c>
      <c r="L14" s="2">
        <v>11.692</v>
      </c>
      <c r="M14" s="2">
        <v>21.856999999999999</v>
      </c>
      <c r="N14" s="2">
        <v>35.530999999999999</v>
      </c>
      <c r="O14" s="2">
        <v>43.131</v>
      </c>
      <c r="P14" s="2">
        <v>53.491</v>
      </c>
      <c r="Q14" s="2">
        <v>53.491</v>
      </c>
      <c r="R14" s="2">
        <f>53.761+47.533</f>
        <v>101.29400000000001</v>
      </c>
      <c r="S14" s="2">
        <v>54.779000000000003</v>
      </c>
      <c r="T14" s="2">
        <v>49.265000000000001</v>
      </c>
      <c r="U14" s="2">
        <f>48.655-0.689</f>
        <v>47.966000000000001</v>
      </c>
      <c r="V14" s="2">
        <f>56.31-2.07+2.383</f>
        <v>56.623000000000005</v>
      </c>
      <c r="W14" s="2">
        <f>53.163-2.071</f>
        <v>51.091999999999999</v>
      </c>
      <c r="X14" s="2">
        <f>49.467-2.074-4.985</f>
        <v>42.408000000000001</v>
      </c>
      <c r="Y14" s="18">
        <f t="shared" ref="Y14:AD14" si="52">45.481-2.075-1.854</f>
        <v>41.552</v>
      </c>
      <c r="Z14" s="2">
        <f t="shared" si="52"/>
        <v>41.552</v>
      </c>
      <c r="AA14" s="2">
        <f t="shared" si="52"/>
        <v>41.552</v>
      </c>
      <c r="AB14" s="2">
        <f t="shared" si="52"/>
        <v>41.552</v>
      </c>
      <c r="AC14" s="2">
        <f t="shared" si="52"/>
        <v>41.552</v>
      </c>
      <c r="AD14" s="2">
        <f t="shared" si="52"/>
        <v>41.552</v>
      </c>
      <c r="AI14" s="2">
        <f>+SUM(G14:J14)</f>
        <v>10.25</v>
      </c>
      <c r="AJ14" s="2">
        <f>+SUM(K14:N14)</f>
        <v>65.358000000000004</v>
      </c>
      <c r="AK14" s="2">
        <f>+SUM(O14:R14)</f>
        <v>251.40700000000001</v>
      </c>
      <c r="AL14" s="2">
        <f>+SUM(S14:V14)</f>
        <v>208.63300000000004</v>
      </c>
      <c r="AM14" s="2">
        <f>+SUM(W14:Z14)</f>
        <v>176.60399999999998</v>
      </c>
      <c r="AN14" s="2">
        <f>+SUM(AA14:AD14)</f>
        <v>166.208</v>
      </c>
      <c r="AO14" s="2">
        <f>45.481-2.075-1.854</f>
        <v>41.552</v>
      </c>
      <c r="AP14" s="2">
        <f t="shared" ref="AP14:BJ14" si="53">45.481-2.075-1.854</f>
        <v>41.552</v>
      </c>
      <c r="AQ14" s="2">
        <f t="shared" si="53"/>
        <v>41.552</v>
      </c>
      <c r="AR14" s="2">
        <f t="shared" si="53"/>
        <v>41.552</v>
      </c>
      <c r="AS14" s="2">
        <f t="shared" si="53"/>
        <v>41.552</v>
      </c>
      <c r="AT14" s="2">
        <f t="shared" si="53"/>
        <v>41.552</v>
      </c>
      <c r="AU14" s="2">
        <f t="shared" si="53"/>
        <v>41.552</v>
      </c>
      <c r="AV14" s="2">
        <f t="shared" si="53"/>
        <v>41.552</v>
      </c>
      <c r="AW14" s="2">
        <f t="shared" si="53"/>
        <v>41.552</v>
      </c>
      <c r="AX14" s="2">
        <f t="shared" si="53"/>
        <v>41.552</v>
      </c>
      <c r="AY14" s="2">
        <f t="shared" si="53"/>
        <v>41.552</v>
      </c>
      <c r="AZ14" s="2">
        <f t="shared" si="53"/>
        <v>41.552</v>
      </c>
      <c r="BA14" s="2">
        <f t="shared" si="53"/>
        <v>41.552</v>
      </c>
      <c r="BB14" s="2">
        <f t="shared" si="53"/>
        <v>41.552</v>
      </c>
      <c r="BC14" s="2">
        <f t="shared" si="53"/>
        <v>41.552</v>
      </c>
      <c r="BD14" s="2">
        <f t="shared" si="53"/>
        <v>41.552</v>
      </c>
      <c r="BE14" s="2">
        <f t="shared" si="53"/>
        <v>41.552</v>
      </c>
      <c r="BF14" s="2">
        <f t="shared" si="53"/>
        <v>41.552</v>
      </c>
      <c r="BG14" s="2">
        <f t="shared" si="53"/>
        <v>41.552</v>
      </c>
      <c r="BH14" s="2">
        <f t="shared" si="53"/>
        <v>41.552</v>
      </c>
      <c r="BI14" s="2">
        <f t="shared" si="53"/>
        <v>41.552</v>
      </c>
      <c r="BJ14" s="2">
        <f t="shared" si="53"/>
        <v>41.552</v>
      </c>
    </row>
    <row r="15" spans="1:62" s="2" customFormat="1" x14ac:dyDescent="0.2">
      <c r="B15" s="2" t="s">
        <v>30</v>
      </c>
      <c r="C15" s="5"/>
      <c r="D15" s="5">
        <f t="shared" ref="D15:K15" si="54">+D13+D14</f>
        <v>-75.994</v>
      </c>
      <c r="E15" s="5">
        <f t="shared" si="54"/>
        <v>-168.45600000000002</v>
      </c>
      <c r="F15" s="5">
        <f t="shared" si="54"/>
        <v>-197.59300000000002</v>
      </c>
      <c r="G15" s="5">
        <f t="shared" si="54"/>
        <v>-203.47100000000003</v>
      </c>
      <c r="H15" s="5">
        <f t="shared" si="54"/>
        <v>-197.95100000000002</v>
      </c>
      <c r="I15" s="5">
        <f t="shared" si="54"/>
        <v>-153.67700000000002</v>
      </c>
      <c r="J15" s="5">
        <f t="shared" si="54"/>
        <v>-149.68700000000004</v>
      </c>
      <c r="K15" s="5">
        <f t="shared" si="54"/>
        <v>-192.48800000000008</v>
      </c>
      <c r="L15" s="2">
        <f t="shared" ref="L15" si="55">+L13+L14</f>
        <v>-196.04000000000008</v>
      </c>
      <c r="M15" s="2">
        <f t="shared" ref="M15:N15" si="56">+M13+M14</f>
        <v>-184.16200000000001</v>
      </c>
      <c r="N15" s="2">
        <f t="shared" si="56"/>
        <v>-204.21900000000011</v>
      </c>
      <c r="O15" s="2">
        <f>+O13+O14</f>
        <v>-230.10699999999994</v>
      </c>
      <c r="P15" s="2">
        <f>+P13+P14</f>
        <v>-267.28699999999992</v>
      </c>
      <c r="Q15" s="2">
        <f>+Q13+Q14</f>
        <v>-207.13199999999995</v>
      </c>
      <c r="R15" s="2">
        <f>+R13+R14</f>
        <v>-174.21099999999998</v>
      </c>
      <c r="S15" s="2">
        <f>+S13+S14</f>
        <v>-293.79300000000001</v>
      </c>
      <c r="T15" s="2">
        <f t="shared" ref="T15" si="57">+T13+T14</f>
        <v>-306.03800000000001</v>
      </c>
      <c r="U15" s="2">
        <f t="shared" ref="U15:AD15" si="58">+U13+U14</f>
        <v>-317.49099999999999</v>
      </c>
      <c r="V15" s="2">
        <f t="shared" si="58"/>
        <v>-330.05500000000012</v>
      </c>
      <c r="W15" s="2">
        <f t="shared" si="58"/>
        <v>-396.16500000000008</v>
      </c>
      <c r="X15" s="2">
        <f t="shared" si="58"/>
        <v>-297.88799999999981</v>
      </c>
      <c r="Y15" s="18">
        <f t="shared" si="58"/>
        <v>-287.92100000000016</v>
      </c>
      <c r="Z15" s="2">
        <f t="shared" si="58"/>
        <v>-308.64448000000004</v>
      </c>
      <c r="AA15" s="2">
        <f t="shared" si="58"/>
        <v>-297.76514359999999</v>
      </c>
      <c r="AB15" s="2">
        <f t="shared" si="58"/>
        <v>-272.73831765200021</v>
      </c>
      <c r="AC15" s="2">
        <f t="shared" si="58"/>
        <v>-233.76499980764007</v>
      </c>
      <c r="AD15" s="2">
        <f t="shared" si="58"/>
        <v>-215.06029721177507</v>
      </c>
      <c r="AI15" s="2">
        <f t="shared" ref="AI15:AO15" si="59">+AI13+AI14</f>
        <v>-704.78600000000029</v>
      </c>
      <c r="AJ15" s="2">
        <f t="shared" si="59"/>
        <v>-776.90900000000033</v>
      </c>
      <c r="AK15" s="2">
        <f t="shared" si="59"/>
        <v>-878.73700000000019</v>
      </c>
      <c r="AL15" s="2">
        <f t="shared" si="59"/>
        <v>-1247.3770000000002</v>
      </c>
      <c r="AM15" s="2">
        <f t="shared" si="59"/>
        <v>-1290.6184800000003</v>
      </c>
      <c r="AN15" s="2">
        <f t="shared" si="59"/>
        <v>-1019.3287582714144</v>
      </c>
      <c r="AO15" s="2">
        <f t="shared" si="59"/>
        <v>1519.3178926993617</v>
      </c>
      <c r="AP15" s="2">
        <f t="shared" ref="AP15:BJ15" si="60">+AP13+AP14</f>
        <v>2581.0954752505372</v>
      </c>
      <c r="AQ15" s="2">
        <f t="shared" si="60"/>
        <v>3946.0355085958504</v>
      </c>
      <c r="AR15" s="2">
        <f t="shared" si="60"/>
        <v>5692.568869294777</v>
      </c>
      <c r="AS15" s="2">
        <f t="shared" si="60"/>
        <v>6329.7660547422483</v>
      </c>
      <c r="AT15" s="2">
        <f t="shared" si="60"/>
        <v>7029.4450134847566</v>
      </c>
      <c r="AU15" s="2">
        <f t="shared" si="60"/>
        <v>7797.5884869811925</v>
      </c>
      <c r="AV15" s="2">
        <f t="shared" si="60"/>
        <v>8640.7428201521034</v>
      </c>
      <c r="AW15" s="2">
        <f t="shared" si="60"/>
        <v>9566.0704466623756</v>
      </c>
      <c r="AX15" s="2">
        <f t="shared" si="60"/>
        <v>10581.407221147336</v>
      </c>
      <c r="AY15" s="2">
        <f t="shared" si="60"/>
        <v>11695.325043235916</v>
      </c>
      <c r="AZ15" s="2">
        <f t="shared" si="60"/>
        <v>12917.20025886544</v>
      </c>
      <c r="BA15" s="2">
        <f t="shared" si="60"/>
        <v>14257.288368723306</v>
      </c>
      <c r="BB15" s="2">
        <f t="shared" si="60"/>
        <v>15726.805622027574</v>
      </c>
      <c r="BC15" s="2">
        <f t="shared" si="60"/>
        <v>17338.018126637569</v>
      </c>
      <c r="BD15" s="2">
        <f t="shared" si="60"/>
        <v>19104.339164066387</v>
      </c>
      <c r="BE15" s="2">
        <f t="shared" si="60"/>
        <v>21040.435460786008</v>
      </c>
      <c r="BF15" s="2">
        <f t="shared" si="60"/>
        <v>23162.343235747136</v>
      </c>
      <c r="BG15" s="2">
        <f t="shared" si="60"/>
        <v>25487.594918799106</v>
      </c>
      <c r="BH15" s="2">
        <f t="shared" si="60"/>
        <v>28035.357516254178</v>
      </c>
      <c r="BI15" s="2">
        <f t="shared" si="60"/>
        <v>30826.583688813633</v>
      </c>
      <c r="BJ15" s="2">
        <f t="shared" si="60"/>
        <v>33884.176704130194</v>
      </c>
    </row>
    <row r="16" spans="1:62" s="2" customFormat="1" x14ac:dyDescent="0.2">
      <c r="B16" s="2" t="s">
        <v>29</v>
      </c>
      <c r="C16" s="5"/>
      <c r="D16" s="5">
        <v>0.53100000000000003</v>
      </c>
      <c r="E16" s="5">
        <v>0.433</v>
      </c>
      <c r="F16" s="5">
        <v>1.3420000000000001</v>
      </c>
      <c r="G16" s="5">
        <v>-0.251</v>
      </c>
      <c r="H16" s="5">
        <v>0.51400000000000001</v>
      </c>
      <c r="I16" s="5">
        <v>1.179</v>
      </c>
      <c r="J16" s="5">
        <v>1.546</v>
      </c>
      <c r="K16" s="5">
        <v>-26.693999999999999</v>
      </c>
      <c r="L16" s="2">
        <v>3.8460000000000001</v>
      </c>
      <c r="M16" s="2">
        <v>4.0090000000000003</v>
      </c>
      <c r="N16" s="2">
        <v>0</v>
      </c>
      <c r="O16" s="2">
        <v>3.3919999999999999</v>
      </c>
      <c r="P16" s="2">
        <v>3.3919999999999999</v>
      </c>
      <c r="Q16" s="2">
        <v>3.3919999999999999</v>
      </c>
      <c r="R16" s="2">
        <f>4.299-0.56</f>
        <v>3.7390000000000003</v>
      </c>
      <c r="S16" s="2">
        <v>2.7210000000000001</v>
      </c>
      <c r="T16" s="2">
        <v>0</v>
      </c>
      <c r="U16" s="2">
        <v>1.9370000000000001</v>
      </c>
      <c r="V16" s="2">
        <f>4.331-1.75</f>
        <v>2.5810000000000004</v>
      </c>
      <c r="W16" s="2">
        <v>5.7290000000000001</v>
      </c>
      <c r="X16" s="2">
        <v>0.62</v>
      </c>
      <c r="Y16" s="18">
        <v>3.8620000000000001</v>
      </c>
      <c r="Z16" s="2">
        <v>3.8620000000000001</v>
      </c>
      <c r="AA16" s="2">
        <v>3.8620000000000001</v>
      </c>
      <c r="AB16" s="2">
        <v>3.8620000000000001</v>
      </c>
      <c r="AC16" s="2">
        <v>3.8620000000000001</v>
      </c>
      <c r="AD16" s="2">
        <v>3.8620000000000001</v>
      </c>
      <c r="AI16" s="2">
        <f>+SUM(G16:J16)</f>
        <v>2.9880000000000004</v>
      </c>
      <c r="AJ16" s="2">
        <f>+SUM(K16:N16)</f>
        <v>-18.838999999999999</v>
      </c>
      <c r="AK16" s="2">
        <f>+SUM(O16:R16)</f>
        <v>13.915000000000001</v>
      </c>
      <c r="AL16" s="2">
        <f>+SUM(S16:V16)</f>
        <v>7.2390000000000008</v>
      </c>
      <c r="AM16" s="2">
        <f>+SUM(W16:Z16)</f>
        <v>14.073</v>
      </c>
      <c r="AN16" s="2">
        <f>+SUM(AA16:AD16)</f>
        <v>15.448</v>
      </c>
      <c r="AO16" s="2">
        <v>3.8620000000000001</v>
      </c>
      <c r="AP16" s="2">
        <v>3.8620000000000001</v>
      </c>
      <c r="AQ16" s="2">
        <v>3.8620000000000001</v>
      </c>
      <c r="AR16" s="2">
        <v>3.8620000000000001</v>
      </c>
      <c r="AS16" s="2">
        <v>3.8620000000000001</v>
      </c>
      <c r="AT16" s="2">
        <v>3.8620000000000001</v>
      </c>
      <c r="AU16" s="2">
        <v>3.8620000000000001</v>
      </c>
      <c r="AV16" s="2">
        <v>3.8620000000000001</v>
      </c>
      <c r="AW16" s="2">
        <v>3.8620000000000001</v>
      </c>
      <c r="AX16" s="2">
        <v>3.8620000000000001</v>
      </c>
      <c r="AY16" s="2">
        <v>3.8620000000000001</v>
      </c>
      <c r="AZ16" s="2">
        <v>3.8620000000000001</v>
      </c>
      <c r="BA16" s="2">
        <v>3.8620000000000001</v>
      </c>
      <c r="BB16" s="2">
        <v>3.8620000000000001</v>
      </c>
      <c r="BC16" s="2">
        <v>3.8620000000000001</v>
      </c>
      <c r="BD16" s="2">
        <v>3.8620000000000001</v>
      </c>
      <c r="BE16" s="2">
        <v>3.8620000000000001</v>
      </c>
      <c r="BF16" s="2">
        <v>3.8620000000000001</v>
      </c>
      <c r="BG16" s="2">
        <v>3.8620000000000001</v>
      </c>
      <c r="BH16" s="2">
        <v>3.8620000000000001</v>
      </c>
      <c r="BI16" s="2">
        <v>3.8620000000000001</v>
      </c>
      <c r="BJ16" s="2">
        <v>3.8620000000000001</v>
      </c>
    </row>
    <row r="17" spans="2:120" s="2" customFormat="1" x14ac:dyDescent="0.2">
      <c r="B17" s="2" t="s">
        <v>28</v>
      </c>
      <c r="C17" s="5"/>
      <c r="D17" s="5">
        <f t="shared" ref="D17:K17" si="61">+D15-D16</f>
        <v>-76.525000000000006</v>
      </c>
      <c r="E17" s="5">
        <f t="shared" si="61"/>
        <v>-168.88900000000001</v>
      </c>
      <c r="F17" s="5">
        <f t="shared" si="61"/>
        <v>-198.93500000000003</v>
      </c>
      <c r="G17" s="5">
        <f t="shared" si="61"/>
        <v>-203.22000000000003</v>
      </c>
      <c r="H17" s="5">
        <f t="shared" si="61"/>
        <v>-198.46500000000003</v>
      </c>
      <c r="I17" s="5">
        <f t="shared" si="61"/>
        <v>-154.85600000000002</v>
      </c>
      <c r="J17" s="5">
        <f t="shared" si="61"/>
        <v>-151.23300000000003</v>
      </c>
      <c r="K17" s="5">
        <f t="shared" si="61"/>
        <v>-165.7940000000001</v>
      </c>
      <c r="L17" s="2">
        <f t="shared" ref="L17" si="62">+L15+L16</f>
        <v>-192.19400000000007</v>
      </c>
      <c r="M17" s="2">
        <f t="shared" ref="M17:N17" si="63">+M15+M16</f>
        <v>-180.15300000000002</v>
      </c>
      <c r="N17" s="2">
        <f t="shared" si="63"/>
        <v>-204.21900000000011</v>
      </c>
      <c r="O17" s="2">
        <f>+O15+O16</f>
        <v>-226.71499999999995</v>
      </c>
      <c r="P17" s="2">
        <f>+P15+P16</f>
        <v>-263.89499999999992</v>
      </c>
      <c r="Q17" s="2">
        <f>+Q15+Q16</f>
        <v>-203.73999999999995</v>
      </c>
      <c r="R17" s="2">
        <f>+R15+R16</f>
        <v>-170.47199999999998</v>
      </c>
      <c r="S17" s="2">
        <f>+S15+S16</f>
        <v>-291.072</v>
      </c>
      <c r="T17" s="2">
        <f t="shared" ref="T17" si="64">+T15+T16</f>
        <v>-306.03800000000001</v>
      </c>
      <c r="U17" s="2">
        <f>+U15+U16</f>
        <v>-315.55399999999997</v>
      </c>
      <c r="V17" s="2">
        <f>+V15+V16</f>
        <v>-327.4740000000001</v>
      </c>
      <c r="W17" s="2">
        <f>+W15+W16</f>
        <v>-390.43600000000009</v>
      </c>
      <c r="X17" s="2">
        <f t="shared" ref="X17:AD17" si="65">+X15-X16</f>
        <v>-298.50799999999981</v>
      </c>
      <c r="Y17" s="18">
        <f t="shared" si="65"/>
        <v>-291.78300000000019</v>
      </c>
      <c r="Z17" s="2">
        <f t="shared" si="65"/>
        <v>-312.50648000000007</v>
      </c>
      <c r="AA17" s="2">
        <f t="shared" si="65"/>
        <v>-301.62714360000001</v>
      </c>
      <c r="AB17" s="2">
        <f t="shared" si="65"/>
        <v>-276.60031765200023</v>
      </c>
      <c r="AC17" s="2">
        <f t="shared" si="65"/>
        <v>-237.62699980764006</v>
      </c>
      <c r="AD17" s="2">
        <f t="shared" si="65"/>
        <v>-218.92229721177506</v>
      </c>
      <c r="AI17" s="2">
        <f t="shared" ref="AI17:AO17" si="66">+AI15-AI16</f>
        <v>-707.77400000000034</v>
      </c>
      <c r="AJ17" s="2">
        <f t="shared" si="66"/>
        <v>-758.07000000000039</v>
      </c>
      <c r="AK17" s="2">
        <f t="shared" si="66"/>
        <v>-892.65200000000016</v>
      </c>
      <c r="AL17" s="2">
        <f t="shared" si="66"/>
        <v>-1254.6160000000002</v>
      </c>
      <c r="AM17" s="2">
        <f t="shared" si="66"/>
        <v>-1304.6914800000004</v>
      </c>
      <c r="AN17" s="2">
        <f t="shared" si="66"/>
        <v>-1034.7767582714143</v>
      </c>
      <c r="AO17" s="2">
        <f t="shared" si="66"/>
        <v>1515.4558926993616</v>
      </c>
      <c r="AP17" s="2">
        <f t="shared" ref="AP17:BJ17" si="67">+AP15-AP16</f>
        <v>2577.2334752505371</v>
      </c>
      <c r="AQ17" s="2">
        <f t="shared" si="67"/>
        <v>3942.1735085958503</v>
      </c>
      <c r="AR17" s="2">
        <f t="shared" si="67"/>
        <v>5688.7068692947769</v>
      </c>
      <c r="AS17" s="2">
        <f t="shared" si="67"/>
        <v>6325.9040547422483</v>
      </c>
      <c r="AT17" s="2">
        <f t="shared" si="67"/>
        <v>7025.5830134847565</v>
      </c>
      <c r="AU17" s="2">
        <f t="shared" si="67"/>
        <v>7793.7264869811925</v>
      </c>
      <c r="AV17" s="2">
        <f t="shared" si="67"/>
        <v>8636.8808201521042</v>
      </c>
      <c r="AW17" s="2">
        <f t="shared" si="67"/>
        <v>9562.2084466623764</v>
      </c>
      <c r="AX17" s="2">
        <f t="shared" si="67"/>
        <v>10577.545221147337</v>
      </c>
      <c r="AY17" s="2">
        <f t="shared" si="67"/>
        <v>11691.463043235917</v>
      </c>
      <c r="AZ17" s="2">
        <f t="shared" si="67"/>
        <v>12913.33825886544</v>
      </c>
      <c r="BA17" s="2">
        <f t="shared" si="67"/>
        <v>14253.426368723307</v>
      </c>
      <c r="BB17" s="2">
        <f t="shared" si="67"/>
        <v>15722.943622027575</v>
      </c>
      <c r="BC17" s="2">
        <f t="shared" si="67"/>
        <v>17334.156126637568</v>
      </c>
      <c r="BD17" s="2">
        <f t="shared" si="67"/>
        <v>19100.477164066386</v>
      </c>
      <c r="BE17" s="2">
        <f t="shared" si="67"/>
        <v>21036.573460786007</v>
      </c>
      <c r="BF17" s="2">
        <f t="shared" si="67"/>
        <v>23158.481235747135</v>
      </c>
      <c r="BG17" s="2">
        <f t="shared" si="67"/>
        <v>25483.732918799105</v>
      </c>
      <c r="BH17" s="2">
        <f t="shared" si="67"/>
        <v>28031.495516254177</v>
      </c>
      <c r="BI17" s="2">
        <f t="shared" si="67"/>
        <v>30822.721688813632</v>
      </c>
      <c r="BJ17" s="2">
        <f t="shared" si="67"/>
        <v>33880.314704130193</v>
      </c>
      <c r="BK17" s="2">
        <f>+BJ15*1.01</f>
        <v>34223.018471171497</v>
      </c>
      <c r="BL17" s="2">
        <f t="shared" ref="BL17:DP17" si="68">+BK17*1.01</f>
        <v>34565.24865588321</v>
      </c>
      <c r="BM17" s="2">
        <f t="shared" si="68"/>
        <v>34910.901142442039</v>
      </c>
      <c r="BN17" s="2">
        <f t="shared" si="68"/>
        <v>35260.01015386646</v>
      </c>
      <c r="BO17" s="2">
        <f t="shared" si="68"/>
        <v>35612.610255405125</v>
      </c>
      <c r="BP17" s="2">
        <f t="shared" si="68"/>
        <v>35968.736357959177</v>
      </c>
      <c r="BQ17" s="2">
        <f t="shared" si="68"/>
        <v>36328.423721538769</v>
      </c>
      <c r="BR17" s="2">
        <f t="shared" si="68"/>
        <v>36691.707958754159</v>
      </c>
      <c r="BS17" s="2">
        <f t="shared" si="68"/>
        <v>37058.625038341699</v>
      </c>
      <c r="BT17" s="2">
        <f t="shared" si="68"/>
        <v>37429.211288725113</v>
      </c>
      <c r="BU17" s="2">
        <f t="shared" si="68"/>
        <v>37803.503401612368</v>
      </c>
      <c r="BV17" s="2">
        <f t="shared" si="68"/>
        <v>38181.538435628492</v>
      </c>
      <c r="BW17" s="2">
        <f t="shared" si="68"/>
        <v>38563.353819984775</v>
      </c>
      <c r="BX17" s="2">
        <f t="shared" si="68"/>
        <v>38948.987358184626</v>
      </c>
      <c r="BY17" s="2">
        <f t="shared" si="68"/>
        <v>39338.477231766476</v>
      </c>
      <c r="BZ17" s="2">
        <f t="shared" si="68"/>
        <v>39731.862004084142</v>
      </c>
      <c r="CA17" s="2">
        <f t="shared" si="68"/>
        <v>40129.18062412498</v>
      </c>
      <c r="CB17" s="2">
        <f t="shared" si="68"/>
        <v>40530.47243036623</v>
      </c>
      <c r="CC17" s="2">
        <f t="shared" si="68"/>
        <v>40935.777154669893</v>
      </c>
      <c r="CD17" s="2">
        <f t="shared" si="68"/>
        <v>41345.13492621659</v>
      </c>
      <c r="CE17" s="2">
        <f t="shared" si="68"/>
        <v>41758.586275478752</v>
      </c>
      <c r="CF17" s="2">
        <f t="shared" si="68"/>
        <v>42176.172138233538</v>
      </c>
      <c r="CG17" s="2">
        <f t="shared" si="68"/>
        <v>42597.93385961587</v>
      </c>
      <c r="CH17" s="2">
        <f t="shared" si="68"/>
        <v>43023.913198212031</v>
      </c>
      <c r="CI17" s="2">
        <f t="shared" si="68"/>
        <v>43454.152330194149</v>
      </c>
      <c r="CJ17" s="2">
        <f t="shared" si="68"/>
        <v>43888.693853496094</v>
      </c>
      <c r="CK17" s="2">
        <f t="shared" si="68"/>
        <v>44327.580792031054</v>
      </c>
      <c r="CL17" s="2">
        <f t="shared" si="68"/>
        <v>44770.856599951367</v>
      </c>
      <c r="CM17" s="2">
        <f t="shared" si="68"/>
        <v>45218.56516595088</v>
      </c>
      <c r="CN17" s="2">
        <f t="shared" si="68"/>
        <v>45670.750817610387</v>
      </c>
      <c r="CO17" s="2">
        <f t="shared" si="68"/>
        <v>46127.458325786494</v>
      </c>
      <c r="CP17" s="2">
        <f t="shared" si="68"/>
        <v>46588.73290904436</v>
      </c>
      <c r="CQ17" s="2">
        <f t="shared" si="68"/>
        <v>47054.620238134805</v>
      </c>
      <c r="CR17" s="2">
        <f t="shared" si="68"/>
        <v>47525.16644051615</v>
      </c>
      <c r="CS17" s="2">
        <f t="shared" si="68"/>
        <v>48000.418104921315</v>
      </c>
      <c r="CT17" s="2">
        <f t="shared" si="68"/>
        <v>48480.422285970526</v>
      </c>
      <c r="CU17" s="2">
        <f t="shared" si="68"/>
        <v>48965.22650883023</v>
      </c>
      <c r="CV17" s="2">
        <f t="shared" si="68"/>
        <v>49454.878773918535</v>
      </c>
      <c r="CW17" s="2">
        <f t="shared" si="68"/>
        <v>49949.427561657722</v>
      </c>
      <c r="CX17" s="2">
        <f t="shared" si="68"/>
        <v>50448.921837274298</v>
      </c>
      <c r="CY17" s="2">
        <f t="shared" si="68"/>
        <v>50953.41105564704</v>
      </c>
      <c r="CZ17" s="2">
        <f t="shared" si="68"/>
        <v>51462.945166203514</v>
      </c>
      <c r="DA17" s="2">
        <f t="shared" si="68"/>
        <v>51977.574617865546</v>
      </c>
      <c r="DB17" s="2">
        <f t="shared" si="68"/>
        <v>52497.3503640442</v>
      </c>
      <c r="DC17" s="2">
        <f t="shared" si="68"/>
        <v>53022.323867684645</v>
      </c>
      <c r="DD17" s="2">
        <f t="shared" si="68"/>
        <v>53552.54710636149</v>
      </c>
      <c r="DE17" s="2">
        <f t="shared" si="68"/>
        <v>54088.072577425104</v>
      </c>
      <c r="DF17" s="2">
        <f t="shared" si="68"/>
        <v>54628.953303199356</v>
      </c>
      <c r="DG17" s="2">
        <f t="shared" si="68"/>
        <v>55175.242836231351</v>
      </c>
      <c r="DH17" s="2">
        <f t="shared" si="68"/>
        <v>55726.995264593665</v>
      </c>
      <c r="DI17" s="2">
        <f t="shared" si="68"/>
        <v>56284.265217239605</v>
      </c>
      <c r="DJ17" s="2">
        <f t="shared" si="68"/>
        <v>56847.107869412001</v>
      </c>
      <c r="DK17" s="2">
        <f t="shared" si="68"/>
        <v>57415.578948106122</v>
      </c>
      <c r="DL17" s="2">
        <f t="shared" si="68"/>
        <v>57989.734737587183</v>
      </c>
      <c r="DM17" s="2">
        <f t="shared" si="68"/>
        <v>58569.632084963057</v>
      </c>
      <c r="DN17" s="2">
        <f t="shared" si="68"/>
        <v>59155.328405812688</v>
      </c>
      <c r="DO17" s="2">
        <f t="shared" si="68"/>
        <v>59746.881689870817</v>
      </c>
      <c r="DP17" s="2">
        <f t="shared" si="68"/>
        <v>60344.35050676953</v>
      </c>
    </row>
    <row r="18" spans="2:120" x14ac:dyDescent="0.2">
      <c r="B18" t="s">
        <v>27</v>
      </c>
      <c r="D18" s="6">
        <f t="shared" ref="D18:K18" si="69">+D17/D19</f>
        <v>-1.2913291780742517</v>
      </c>
      <c r="E18" s="6">
        <f t="shared" si="69"/>
        <v>-1.0121101563988826</v>
      </c>
      <c r="F18" s="6">
        <f t="shared" si="69"/>
        <v>-0.70017512244406388</v>
      </c>
      <c r="G18" s="6">
        <f t="shared" si="69"/>
        <v>-0.69742540822139709</v>
      </c>
      <c r="H18" s="6">
        <f t="shared" si="69"/>
        <v>-0.666622779365454</v>
      </c>
      <c r="I18" s="6">
        <f t="shared" si="69"/>
        <v>-0.51106463212189535</v>
      </c>
      <c r="J18" s="6">
        <f t="shared" si="69"/>
        <v>-0.48991318468714745</v>
      </c>
      <c r="K18" s="6">
        <f t="shared" si="69"/>
        <v>-0.52740002735708347</v>
      </c>
      <c r="L18" s="1">
        <f t="shared" ref="L18" si="70">+L17/L19</f>
        <v>-0.60370779881641956</v>
      </c>
      <c r="M18" s="1">
        <f t="shared" ref="M18:N18" si="71">+M17/M19</f>
        <v>-0.56274071875927356</v>
      </c>
      <c r="N18" s="1">
        <f t="shared" si="71"/>
        <v>-0.63437022402803189</v>
      </c>
      <c r="O18" s="1">
        <f>+O17/O19</f>
        <v>-0.68845464759648944</v>
      </c>
      <c r="P18" s="1">
        <f>+P17/P19</f>
        <v>-0.80135738362029674</v>
      </c>
      <c r="Q18" s="1">
        <f>+Q17/Q19</f>
        <v>-0.61868755883514004</v>
      </c>
      <c r="R18" s="1">
        <f>+R17/R19</f>
        <v>-0.51489825691149238</v>
      </c>
      <c r="S18" s="1">
        <f>+S17/S19</f>
        <v>-0.87255983500407697</v>
      </c>
      <c r="T18" s="1">
        <f t="shared" ref="T18" si="72">+T17/T19</f>
        <v>-0.91608670013260651</v>
      </c>
      <c r="U18" s="1">
        <f t="shared" ref="U18:AD18" si="73">+U17/U19</f>
        <v>-0.95114856779428547</v>
      </c>
      <c r="V18" s="1">
        <f t="shared" si="73"/>
        <v>-0.98805788215984003</v>
      </c>
      <c r="W18" s="1">
        <f t="shared" si="73"/>
        <v>-1.1736894158247086</v>
      </c>
      <c r="X18" s="1">
        <f t="shared" si="73"/>
        <v>-0.88107438016528872</v>
      </c>
      <c r="Y18" s="19">
        <f t="shared" si="73"/>
        <v>-0.85266803039158445</v>
      </c>
      <c r="Z18" s="1">
        <f t="shared" si="73"/>
        <v>-0.91322758620689681</v>
      </c>
      <c r="AA18" s="1">
        <f t="shared" si="73"/>
        <v>-0.88143525306838111</v>
      </c>
      <c r="AB18" s="1">
        <f t="shared" si="73"/>
        <v>-0.80830016847457697</v>
      </c>
      <c r="AC18" s="1">
        <f t="shared" si="73"/>
        <v>-0.69440970136656943</v>
      </c>
      <c r="AD18" s="1">
        <f t="shared" si="73"/>
        <v>-0.63974955351190843</v>
      </c>
      <c r="AI18" s="1"/>
      <c r="AO18" s="1"/>
    </row>
    <row r="19" spans="2:120" s="2" customFormat="1" x14ac:dyDescent="0.2">
      <c r="B19" s="2" t="s">
        <v>1</v>
      </c>
      <c r="C19" s="5"/>
      <c r="D19" s="5">
        <v>59.260644999999997</v>
      </c>
      <c r="E19" s="5">
        <v>166.8682</v>
      </c>
      <c r="F19" s="5">
        <v>284.12177700000001</v>
      </c>
      <c r="G19" s="5">
        <v>291.38600000000002</v>
      </c>
      <c r="H19" s="5">
        <v>297.71709900000002</v>
      </c>
      <c r="I19" s="5">
        <v>303.006685</v>
      </c>
      <c r="J19" s="5">
        <v>308.693468</v>
      </c>
      <c r="K19" s="5">
        <v>314.36099999999999</v>
      </c>
      <c r="L19" s="2">
        <v>318.35599999999999</v>
      </c>
      <c r="M19" s="2">
        <v>320.13499999999999</v>
      </c>
      <c r="N19" s="2">
        <v>321.92399999999998</v>
      </c>
      <c r="O19" s="2">
        <v>329.31</v>
      </c>
      <c r="P19" s="2">
        <v>329.31</v>
      </c>
      <c r="Q19" s="2">
        <v>329.31</v>
      </c>
      <c r="R19" s="2">
        <v>331.07900000000001</v>
      </c>
      <c r="S19" s="2">
        <v>333.584</v>
      </c>
      <c r="T19" s="2">
        <v>334.07100000000003</v>
      </c>
      <c r="U19" s="2">
        <v>331.76100000000002</v>
      </c>
      <c r="V19" s="2">
        <v>331.43200000000002</v>
      </c>
      <c r="W19" s="2">
        <v>332.65699999999998</v>
      </c>
      <c r="X19" s="2">
        <v>338.8</v>
      </c>
      <c r="Y19" s="18">
        <v>342.2</v>
      </c>
      <c r="Z19" s="2">
        <v>342.2</v>
      </c>
      <c r="AA19" s="2">
        <v>342.2</v>
      </c>
      <c r="AB19" s="2">
        <v>342.2</v>
      </c>
      <c r="AC19" s="2">
        <v>342.2</v>
      </c>
      <c r="AD19" s="2">
        <v>342.2</v>
      </c>
    </row>
    <row r="21" spans="2:120" s="13" customFormat="1" x14ac:dyDescent="0.2">
      <c r="B21" s="13" t="s">
        <v>32</v>
      </c>
      <c r="C21" s="10"/>
      <c r="D21" s="10"/>
      <c r="E21" s="10"/>
      <c r="F21" s="10"/>
      <c r="G21" s="10"/>
      <c r="H21" s="10">
        <f>+H6/D6-1</f>
        <v>1.0443726764054224</v>
      </c>
      <c r="I21" s="10">
        <f>+I6/E6-1</f>
        <v>1.0951799228186236</v>
      </c>
      <c r="J21" s="10">
        <f>+J6/F6-1</f>
        <v>1.0149318772477884</v>
      </c>
      <c r="K21" s="10">
        <f>+K6/G6-1</f>
        <v>0.84510776973011703</v>
      </c>
      <c r="L21" s="10">
        <f>+L6/H6-1</f>
        <v>0.8267878529599777</v>
      </c>
      <c r="M21" s="10">
        <f t="shared" ref="M21:V21" si="74">+M6/I6-1</f>
        <v>0.66554937941221337</v>
      </c>
      <c r="N21" s="10">
        <f t="shared" si="74"/>
        <v>0.53478870376836363</v>
      </c>
      <c r="O21" s="10">
        <f t="shared" si="74"/>
        <v>0.47642475454043964</v>
      </c>
      <c r="P21" s="10">
        <f t="shared" si="74"/>
        <v>0.35549665358131155</v>
      </c>
      <c r="Q21" s="10">
        <f t="shared" si="74"/>
        <v>0.31801812476213032</v>
      </c>
      <c r="R21" s="10">
        <f t="shared" si="74"/>
        <v>0.31525164173225684</v>
      </c>
      <c r="S21" s="10">
        <f t="shared" si="74"/>
        <v>0.32891329203542652</v>
      </c>
      <c r="T21" s="10">
        <f t="shared" si="74"/>
        <v>0.2890204712633786</v>
      </c>
      <c r="U21" s="10">
        <f t="shared" si="74"/>
        <v>0.2832043673630058</v>
      </c>
      <c r="V21" s="10">
        <f t="shared" si="74"/>
        <v>0.27374631953829809</v>
      </c>
      <c r="W21" s="13">
        <f t="shared" ref="W21:AD21" si="75">+W6/S6-1</f>
        <v>0.25746673440254675</v>
      </c>
      <c r="X21" s="13">
        <f t="shared" si="75"/>
        <v>0.31781617199360523</v>
      </c>
      <c r="Y21" s="20">
        <f t="shared" si="75"/>
        <v>0.28746069925081774</v>
      </c>
      <c r="Z21" s="13">
        <f t="shared" si="75"/>
        <v>0.27081285405920319</v>
      </c>
      <c r="AA21" s="13">
        <f t="shared" si="75"/>
        <v>0.27689588263405462</v>
      </c>
      <c r="AB21" s="13">
        <f t="shared" si="75"/>
        <v>0.25096279397597621</v>
      </c>
      <c r="AC21" s="13">
        <f t="shared" si="75"/>
        <v>0.28534560960467781</v>
      </c>
      <c r="AD21" s="13">
        <f t="shared" si="75"/>
        <v>0.32438395194577363</v>
      </c>
      <c r="AJ21" s="13">
        <f>+AJ6/AI6-1</f>
        <v>0.69409764566847132</v>
      </c>
      <c r="AK21" s="13">
        <f>+AK6/AJ6-1</f>
        <v>0.35864099544019634</v>
      </c>
      <c r="AL21" s="13">
        <f>+AL6/AK6-1</f>
        <v>0.29214687818124352</v>
      </c>
      <c r="AM21" s="13">
        <f t="shared" ref="AM21:BJ21" si="76">+AM6/AL6-1</f>
        <v>0.28334908818562554</v>
      </c>
      <c r="AN21" s="13">
        <f t="shared" si="76"/>
        <v>0.28551369760881773</v>
      </c>
      <c r="AO21" s="13">
        <f t="shared" si="76"/>
        <v>0.25</v>
      </c>
      <c r="AP21" s="13">
        <f t="shared" si="76"/>
        <v>0.25</v>
      </c>
      <c r="AQ21" s="13">
        <f t="shared" si="76"/>
        <v>0.25</v>
      </c>
      <c r="AR21" s="13">
        <f t="shared" si="76"/>
        <v>0.25</v>
      </c>
      <c r="AS21" s="13">
        <f t="shared" si="76"/>
        <v>9.000000000000008E-2</v>
      </c>
      <c r="AT21" s="13">
        <f t="shared" si="76"/>
        <v>9.000000000000008E-2</v>
      </c>
      <c r="AU21" s="13">
        <f t="shared" si="76"/>
        <v>9.000000000000008E-2</v>
      </c>
      <c r="AV21" s="13">
        <f t="shared" si="76"/>
        <v>9.000000000000008E-2</v>
      </c>
      <c r="AW21" s="13">
        <f t="shared" si="76"/>
        <v>9.000000000000008E-2</v>
      </c>
      <c r="AX21" s="13">
        <f t="shared" si="76"/>
        <v>9.000000000000008E-2</v>
      </c>
      <c r="AY21" s="13">
        <f t="shared" si="76"/>
        <v>9.000000000000008E-2</v>
      </c>
      <c r="AZ21" s="13">
        <f t="shared" si="76"/>
        <v>9.000000000000008E-2</v>
      </c>
      <c r="BA21" s="13">
        <f t="shared" si="76"/>
        <v>9.000000000000008E-2</v>
      </c>
      <c r="BB21" s="13">
        <f t="shared" si="76"/>
        <v>9.000000000000008E-2</v>
      </c>
      <c r="BC21" s="13">
        <f t="shared" si="76"/>
        <v>9.000000000000008E-2</v>
      </c>
      <c r="BD21" s="13">
        <f t="shared" si="76"/>
        <v>9.000000000000008E-2</v>
      </c>
      <c r="BE21" s="13">
        <f t="shared" si="76"/>
        <v>9.000000000000008E-2</v>
      </c>
      <c r="BF21" s="13">
        <f t="shared" si="76"/>
        <v>9.000000000000008E-2</v>
      </c>
      <c r="BG21" s="13">
        <f t="shared" si="76"/>
        <v>9.000000000000008E-2</v>
      </c>
      <c r="BH21" s="13">
        <f t="shared" si="76"/>
        <v>9.000000000000008E-2</v>
      </c>
      <c r="BI21" s="13">
        <f t="shared" si="76"/>
        <v>9.000000000000008E-2</v>
      </c>
      <c r="BJ21" s="13">
        <f t="shared" si="76"/>
        <v>9.000000000000008E-2</v>
      </c>
    </row>
    <row r="22" spans="2:120" x14ac:dyDescent="0.2">
      <c r="B22" t="s">
        <v>33</v>
      </c>
      <c r="D22" s="7">
        <f t="shared" ref="D22:W22" si="77">+D8/D6</f>
        <v>0.6211198317623644</v>
      </c>
      <c r="E22" s="7">
        <f t="shared" si="77"/>
        <v>0.5822620658547587</v>
      </c>
      <c r="F22" s="7">
        <f t="shared" si="77"/>
        <v>0.56472842779513299</v>
      </c>
      <c r="G22" s="7">
        <f t="shared" si="77"/>
        <v>0.57474859554243074</v>
      </c>
      <c r="H22" s="7">
        <f t="shared" si="77"/>
        <v>0.61013306490128516</v>
      </c>
      <c r="I22" s="7">
        <f t="shared" si="77"/>
        <v>0.63884212760995207</v>
      </c>
      <c r="J22" s="7">
        <f t="shared" si="77"/>
        <v>0.65036714316238198</v>
      </c>
      <c r="K22" s="7">
        <f t="shared" si="77"/>
        <v>0.64976288618300027</v>
      </c>
      <c r="L22" s="7">
        <f t="shared" si="77"/>
        <v>0.6516185082695154</v>
      </c>
      <c r="M22" s="7">
        <f t="shared" si="77"/>
        <v>0.65760967132711468</v>
      </c>
      <c r="N22" s="7">
        <f t="shared" si="77"/>
        <v>0.65084412541679959</v>
      </c>
      <c r="O22" s="7">
        <f t="shared" si="77"/>
        <v>0.66418483673001405</v>
      </c>
      <c r="P22" s="7">
        <f t="shared" si="77"/>
        <v>0.66032361153559704</v>
      </c>
      <c r="Q22" s="7">
        <f t="shared" si="77"/>
        <v>0.68815524406372885</v>
      </c>
      <c r="R22" s="7">
        <f t="shared" si="77"/>
        <v>0.68787361284834503</v>
      </c>
      <c r="S22" s="7">
        <f t="shared" si="77"/>
        <v>0.67115477206112162</v>
      </c>
      <c r="T22" s="7">
        <f t="shared" si="77"/>
        <v>0.6684272861100593</v>
      </c>
      <c r="U22" s="7">
        <f t="shared" si="77"/>
        <v>0.65938218479260036</v>
      </c>
      <c r="V22" s="7">
        <f t="shared" si="77"/>
        <v>0.66234887562451228</v>
      </c>
      <c r="W22" s="7">
        <f t="shared" si="77"/>
        <v>0.66529632252603943</v>
      </c>
      <c r="X22" s="7">
        <f t="shared" ref="X22:Y22" si="78">+X8/X6</f>
        <v>0.67525627779053909</v>
      </c>
      <c r="Y22" s="21">
        <f t="shared" si="78"/>
        <v>0.67773922033722223</v>
      </c>
      <c r="Z22" s="7">
        <f t="shared" ref="Z22:AA22" si="79">+Z8/Z6</f>
        <v>0.68</v>
      </c>
      <c r="AA22" s="7">
        <f t="shared" si="79"/>
        <v>0.68</v>
      </c>
      <c r="AB22" s="7">
        <f t="shared" ref="AB22:AD22" si="80">+AB8/AB6</f>
        <v>0.68</v>
      </c>
      <c r="AC22" s="7">
        <f t="shared" si="80"/>
        <v>0.68</v>
      </c>
      <c r="AD22" s="7">
        <f t="shared" si="80"/>
        <v>0.67999999999999994</v>
      </c>
      <c r="AI22" s="7"/>
    </row>
    <row r="24" spans="2:120" s="2" customFormat="1" x14ac:dyDescent="0.2">
      <c r="B24" s="2" t="s">
        <v>3</v>
      </c>
      <c r="C24" s="5"/>
      <c r="D24" s="5"/>
      <c r="E24" s="5"/>
      <c r="F24" s="5"/>
      <c r="G24" s="5"/>
      <c r="H24" s="5"/>
      <c r="I24" s="5"/>
      <c r="J24" s="5"/>
      <c r="K24" s="5">
        <f>1063.401+2751.679+1212.378</f>
        <v>5027.4579999999996</v>
      </c>
      <c r="L24" s="5"/>
      <c r="M24" s="5"/>
      <c r="N24" s="5"/>
      <c r="Y24" s="18">
        <f>1941.657+1411.448</f>
        <v>3353.105</v>
      </c>
      <c r="AG24" s="2" t="s">
        <v>121</v>
      </c>
      <c r="AH24" s="26">
        <v>0.09</v>
      </c>
    </row>
    <row r="25" spans="2:120" s="2" customFormat="1" x14ac:dyDescent="0.2">
      <c r="B25" s="2" t="s">
        <v>40</v>
      </c>
      <c r="C25" s="5"/>
      <c r="D25" s="5"/>
      <c r="E25" s="5"/>
      <c r="F25" s="5"/>
      <c r="G25" s="5"/>
      <c r="H25" s="5"/>
      <c r="I25" s="5"/>
      <c r="J25" s="5"/>
      <c r="K25" s="5">
        <v>277.55900000000003</v>
      </c>
      <c r="L25" s="5"/>
      <c r="M25" s="5"/>
      <c r="N25" s="5"/>
      <c r="Y25" s="18">
        <v>938.14499999999998</v>
      </c>
      <c r="AG25" s="2" t="s">
        <v>120</v>
      </c>
      <c r="AH25" s="2">
        <f>NPV(AH24,AI17:DP17)</f>
        <v>89751.449412340939</v>
      </c>
    </row>
    <row r="26" spans="2:120" s="2" customFormat="1" x14ac:dyDescent="0.2">
      <c r="B26" s="2" t="s">
        <v>38</v>
      </c>
      <c r="C26" s="5"/>
      <c r="D26" s="5"/>
      <c r="E26" s="5"/>
      <c r="F26" s="5"/>
      <c r="G26" s="5"/>
      <c r="H26" s="5"/>
      <c r="I26" s="5"/>
      <c r="J26" s="5"/>
      <c r="K26" s="5">
        <f>53.943+124.34</f>
        <v>178.28300000000002</v>
      </c>
      <c r="L26" s="5"/>
      <c r="M26" s="5"/>
      <c r="N26" s="5"/>
      <c r="Y26" s="18">
        <v>167.92599999999999</v>
      </c>
      <c r="AG26" s="8" t="s">
        <v>0</v>
      </c>
      <c r="AH26" s="8">
        <f>+AH25/AH28</f>
        <v>262.27775982566027</v>
      </c>
    </row>
    <row r="27" spans="2:120" s="2" customFormat="1" x14ac:dyDescent="0.2">
      <c r="B27" s="2" t="s">
        <v>39</v>
      </c>
      <c r="C27" s="5"/>
      <c r="D27" s="5"/>
      <c r="E27" s="5"/>
      <c r="F27" s="5"/>
      <c r="G27" s="5"/>
      <c r="H27" s="5"/>
      <c r="I27" s="5"/>
      <c r="J27" s="5"/>
      <c r="K27" s="5">
        <v>195.15100000000001</v>
      </c>
      <c r="L27" s="5"/>
      <c r="M27" s="5"/>
      <c r="N27" s="5"/>
      <c r="Y27" s="18">
        <v>164.31899999999999</v>
      </c>
      <c r="AG27" s="2" t="s">
        <v>122</v>
      </c>
      <c r="AH27" s="2">
        <f>+Main!J2</f>
        <v>219</v>
      </c>
    </row>
    <row r="28" spans="2:120" s="2" customFormat="1" x14ac:dyDescent="0.2">
      <c r="B28" s="2" t="s">
        <v>37</v>
      </c>
      <c r="C28" s="5"/>
      <c r="D28" s="5"/>
      <c r="E28" s="5"/>
      <c r="F28" s="5"/>
      <c r="G28" s="5"/>
      <c r="H28" s="5"/>
      <c r="I28" s="5"/>
      <c r="J28" s="5"/>
      <c r="K28" s="5">
        <v>118.611</v>
      </c>
      <c r="L28" s="5"/>
      <c r="M28" s="5"/>
      <c r="N28" s="5"/>
      <c r="Y28" s="18">
        <f>1041.474+265.844</f>
        <v>1307.318</v>
      </c>
      <c r="AG28" s="2" t="s">
        <v>1</v>
      </c>
      <c r="AH28" s="2">
        <f>+Main!J3</f>
        <v>342.2</v>
      </c>
    </row>
    <row r="29" spans="2:120" s="2" customFormat="1" x14ac:dyDescent="0.2">
      <c r="B29" s="2" t="s">
        <v>36</v>
      </c>
      <c r="C29" s="5"/>
      <c r="D29" s="5"/>
      <c r="E29" s="5"/>
      <c r="F29" s="5"/>
      <c r="G29" s="5"/>
      <c r="H29" s="5"/>
      <c r="I29" s="5"/>
      <c r="J29" s="5"/>
      <c r="K29" s="5">
        <v>188.946</v>
      </c>
      <c r="L29" s="5"/>
      <c r="M29" s="5"/>
      <c r="N29" s="5"/>
      <c r="Y29" s="18">
        <v>254.64099999999999</v>
      </c>
    </row>
    <row r="30" spans="2:120" s="2" customFormat="1" x14ac:dyDescent="0.2">
      <c r="B30" s="2" t="s">
        <v>35</v>
      </c>
      <c r="C30" s="5"/>
      <c r="D30" s="5"/>
      <c r="E30" s="5"/>
      <c r="F30" s="5"/>
      <c r="G30" s="5"/>
      <c r="H30" s="5"/>
      <c r="I30" s="5"/>
      <c r="J30" s="5"/>
      <c r="K30" s="5">
        <f>502.614+181.851</f>
        <v>684.46499999999992</v>
      </c>
      <c r="L30" s="5"/>
      <c r="M30" s="5"/>
      <c r="N30" s="5"/>
      <c r="Y30" s="18">
        <v>1174.96</v>
      </c>
    </row>
    <row r="31" spans="2:120" s="2" customFormat="1" x14ac:dyDescent="0.2">
      <c r="B31" s="2" t="s">
        <v>34</v>
      </c>
      <c r="C31" s="5"/>
      <c r="D31" s="5"/>
      <c r="E31" s="5"/>
      <c r="F31" s="5"/>
      <c r="G31" s="5"/>
      <c r="H31" s="5"/>
      <c r="I31" s="5"/>
      <c r="J31" s="5"/>
      <c r="K31" s="5">
        <v>352.226</v>
      </c>
      <c r="L31" s="5"/>
      <c r="M31" s="5"/>
      <c r="N31" s="5"/>
      <c r="Y31" s="18">
        <f>256.58+209.511+403.686</f>
        <v>869.77700000000004</v>
      </c>
    </row>
    <row r="32" spans="2:120" x14ac:dyDescent="0.2">
      <c r="B32" s="2" t="s">
        <v>41</v>
      </c>
      <c r="K32" s="5">
        <f>SUM(K24:K31)</f>
        <v>7022.6989999999996</v>
      </c>
      <c r="Y32" s="18">
        <f>SUM(Y24:Y31)</f>
        <v>8230.1910000000007</v>
      </c>
    </row>
    <row r="34" spans="2:25" s="2" customFormat="1" x14ac:dyDescent="0.2">
      <c r="B34" s="2" t="s">
        <v>42</v>
      </c>
      <c r="C34" s="5"/>
      <c r="D34" s="5"/>
      <c r="E34" s="5"/>
      <c r="F34" s="5"/>
      <c r="G34" s="5"/>
      <c r="H34" s="5"/>
      <c r="I34" s="5"/>
      <c r="J34" s="5"/>
      <c r="K34" s="5">
        <f>K17</f>
        <v>-165.7940000000001</v>
      </c>
      <c r="L34" s="5"/>
      <c r="M34" s="5"/>
      <c r="N34" s="5"/>
      <c r="Y34" s="18">
        <f>+Y17</f>
        <v>-291.78300000000019</v>
      </c>
    </row>
    <row r="35" spans="2:25" s="2" customFormat="1" x14ac:dyDescent="0.2">
      <c r="B35" s="2" t="s">
        <v>43</v>
      </c>
      <c r="C35" s="5"/>
      <c r="D35" s="5"/>
      <c r="E35" s="5"/>
      <c r="F35" s="5"/>
      <c r="G35" s="5"/>
      <c r="H35" s="5"/>
      <c r="I35" s="5"/>
      <c r="J35" s="5"/>
      <c r="K35" s="5">
        <v>-165.79400000000001</v>
      </c>
      <c r="L35" s="5"/>
      <c r="M35" s="5"/>
      <c r="N35" s="5"/>
      <c r="Y35" s="18">
        <v>-292</v>
      </c>
    </row>
    <row r="36" spans="2:25" s="2" customFormat="1" x14ac:dyDescent="0.2">
      <c r="B36" s="2" t="s">
        <v>46</v>
      </c>
      <c r="C36" s="5"/>
      <c r="D36" s="5"/>
      <c r="E36" s="5"/>
      <c r="F36" s="5"/>
      <c r="G36" s="5"/>
      <c r="H36" s="5"/>
      <c r="I36" s="5"/>
      <c r="J36" s="5"/>
      <c r="K36" s="5">
        <v>9.9410000000000007</v>
      </c>
      <c r="L36" s="5"/>
      <c r="M36" s="5"/>
      <c r="N36" s="5"/>
      <c r="Y36" s="18"/>
    </row>
    <row r="37" spans="2:25" s="2" customFormat="1" x14ac:dyDescent="0.2">
      <c r="B37" s="2" t="s">
        <v>47</v>
      </c>
      <c r="C37" s="5"/>
      <c r="D37" s="5"/>
      <c r="E37" s="5"/>
      <c r="F37" s="5"/>
      <c r="G37" s="5"/>
      <c r="H37" s="5"/>
      <c r="I37" s="5"/>
      <c r="J37" s="5"/>
      <c r="K37" s="5">
        <v>10.090999999999999</v>
      </c>
      <c r="L37" s="5"/>
      <c r="M37" s="5"/>
      <c r="N37" s="5"/>
      <c r="Y37" s="18"/>
    </row>
    <row r="38" spans="2:25" s="2" customFormat="1" x14ac:dyDescent="0.2">
      <c r="B38" s="2" t="s">
        <v>38</v>
      </c>
      <c r="C38" s="5"/>
      <c r="D38" s="5"/>
      <c r="E38" s="5"/>
      <c r="F38" s="5"/>
      <c r="G38" s="5"/>
      <c r="H38" s="5"/>
      <c r="I38" s="5"/>
      <c r="J38" s="5"/>
      <c r="K38" s="5">
        <v>13.201000000000001</v>
      </c>
      <c r="L38" s="5"/>
      <c r="M38" s="5"/>
      <c r="N38" s="5"/>
      <c r="Y38" s="18"/>
    </row>
    <row r="39" spans="2:25" s="2" customFormat="1" x14ac:dyDescent="0.2">
      <c r="B39" s="2" t="s">
        <v>48</v>
      </c>
      <c r="C39" s="5"/>
      <c r="D39" s="5"/>
      <c r="E39" s="5"/>
      <c r="F39" s="5"/>
      <c r="G39" s="5"/>
      <c r="H39" s="5"/>
      <c r="I39" s="5"/>
      <c r="J39" s="5"/>
      <c r="K39" s="5">
        <v>172.49299999999999</v>
      </c>
      <c r="L39" s="5"/>
      <c r="M39" s="5"/>
      <c r="N39" s="5"/>
      <c r="Y39" s="18"/>
    </row>
    <row r="40" spans="2:25" s="2" customFormat="1" x14ac:dyDescent="0.2">
      <c r="B40" s="2" t="s">
        <v>49</v>
      </c>
      <c r="C40" s="5"/>
      <c r="D40" s="5"/>
      <c r="E40" s="5"/>
      <c r="F40" s="5"/>
      <c r="G40" s="5"/>
      <c r="H40" s="5"/>
      <c r="I40" s="5"/>
      <c r="J40" s="5"/>
      <c r="K40" s="5">
        <v>8.1980000000000004</v>
      </c>
      <c r="L40" s="5"/>
      <c r="M40" s="5"/>
      <c r="N40" s="5"/>
      <c r="Y40" s="18"/>
    </row>
    <row r="41" spans="2:25" s="2" customFormat="1" x14ac:dyDescent="0.2">
      <c r="B41" s="2" t="s">
        <v>49</v>
      </c>
      <c r="C41" s="5"/>
      <c r="D41" s="5"/>
      <c r="E41" s="5"/>
      <c r="F41" s="5"/>
      <c r="G41" s="5"/>
      <c r="H41" s="5"/>
      <c r="I41" s="5"/>
      <c r="J41" s="5"/>
      <c r="K41" s="5">
        <v>8.859</v>
      </c>
      <c r="L41" s="5"/>
      <c r="M41" s="5"/>
      <c r="N41" s="5"/>
      <c r="Y41" s="18"/>
    </row>
    <row r="42" spans="2:25" s="2" customFormat="1" x14ac:dyDescent="0.2">
      <c r="B42" s="2" t="s">
        <v>50</v>
      </c>
      <c r="C42" s="5"/>
      <c r="D42" s="5"/>
      <c r="E42" s="5"/>
      <c r="F42" s="5"/>
      <c r="G42" s="5"/>
      <c r="H42" s="5"/>
      <c r="I42" s="5"/>
      <c r="J42" s="5"/>
      <c r="K42" s="5">
        <v>-26.664000000000001</v>
      </c>
      <c r="L42" s="5"/>
      <c r="M42" s="5"/>
      <c r="N42" s="5"/>
      <c r="Y42" s="18"/>
    </row>
    <row r="43" spans="2:25" s="2" customFormat="1" x14ac:dyDescent="0.2">
      <c r="B43" s="2" t="s">
        <v>51</v>
      </c>
      <c r="C43" s="5"/>
      <c r="D43" s="5"/>
      <c r="E43" s="5"/>
      <c r="F43" s="5"/>
      <c r="G43" s="5"/>
      <c r="H43" s="5"/>
      <c r="I43" s="5"/>
      <c r="J43" s="5"/>
      <c r="K43" s="5">
        <v>1.7609999999999999</v>
      </c>
      <c r="L43" s="5"/>
      <c r="M43" s="5"/>
      <c r="N43" s="5"/>
      <c r="Y43" s="18"/>
    </row>
    <row r="44" spans="2:25" s="2" customFormat="1" x14ac:dyDescent="0.2">
      <c r="B44" s="2" t="s">
        <v>45</v>
      </c>
      <c r="C44" s="5"/>
      <c r="D44" s="5"/>
      <c r="E44" s="5"/>
      <c r="F44" s="5"/>
      <c r="G44" s="5"/>
      <c r="H44" s="5"/>
      <c r="I44" s="5"/>
      <c r="J44" s="5"/>
      <c r="K44" s="5">
        <f>266.656-16.718-57.535+4.158-14.217-8.376-21.441</f>
        <v>152.52699999999999</v>
      </c>
      <c r="L44" s="5"/>
      <c r="M44" s="5"/>
      <c r="N44" s="5"/>
      <c r="Y44" s="18"/>
    </row>
    <row r="45" spans="2:25" s="2" customFormat="1" x14ac:dyDescent="0.2">
      <c r="B45" s="2" t="s">
        <v>44</v>
      </c>
      <c r="C45" s="5"/>
      <c r="D45" s="5"/>
      <c r="E45" s="5"/>
      <c r="F45" s="5"/>
      <c r="G45" s="5"/>
      <c r="H45" s="5"/>
      <c r="I45" s="5"/>
      <c r="J45" s="5"/>
      <c r="K45" s="5">
        <f>SUM(K35:K44)</f>
        <v>184.61299999999997</v>
      </c>
      <c r="L45" s="5"/>
      <c r="M45" s="5"/>
      <c r="N45" s="5"/>
      <c r="Y45" s="18"/>
    </row>
  </sheetData>
  <hyperlinks>
    <hyperlink ref="A1" location="Main!A1" display="Main" xr:uid="{567BD3AE-9464-472E-91DA-BE401641621D}"/>
  </hyperlinks>
  <pageMargins left="0.7" right="0.7" top="0.75" bottom="0.75" header="0.3" footer="0.3"/>
  <ignoredErrors>
    <ignoredError sqref="AI6:AI7 AI9:AI14 AI16 AJ6:AJ16" formulaRange="1"/>
    <ignoredError sqref="AI8 AI15" formula="1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Drew Zauner</cp:lastModifiedBy>
  <dcterms:created xsi:type="dcterms:W3CDTF">2022-07-28T12:42:20Z</dcterms:created>
  <dcterms:modified xsi:type="dcterms:W3CDTF">2026-01-02T01:47:19Z</dcterms:modified>
</cp:coreProperties>
</file>